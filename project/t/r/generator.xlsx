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ools\dc-simulator\project\t\r\"/>
    </mc:Choice>
  </mc:AlternateContent>
  <xr:revisionPtr revIDLastSave="0" documentId="8_{C8D122C8-1DBB-4C32-8F43-AB841AA1FF62}" xr6:coauthVersionLast="47" xr6:coauthVersionMax="47" xr10:uidLastSave="{00000000-0000-0000-0000-000000000000}"/>
  <bookViews>
    <workbookView xWindow="-120" yWindow="-120" windowWidth="29040" windowHeight="17025" activeTab="1" xr2:uid="{CBD7210F-B9D3-48ED-80A8-DF331B91CE65}"/>
  </bookViews>
  <sheets>
    <sheet name="gridR" sheetId="1" r:id="rId1"/>
    <sheet name="stationR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68" i="2" l="1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67" i="2"/>
  <c r="A63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D3" i="2"/>
  <c r="A24" i="2" s="1"/>
  <c r="D4" i="2"/>
  <c r="A25" i="2" s="1"/>
  <c r="D12" i="2"/>
  <c r="A33" i="2" s="1"/>
  <c r="D13" i="2"/>
  <c r="A34" i="2" s="1"/>
  <c r="D14" i="2"/>
  <c r="A35" i="2" s="1"/>
  <c r="D15" i="2"/>
  <c r="A36" i="2" s="1"/>
  <c r="D16" i="2"/>
  <c r="A37" i="2" s="1"/>
  <c r="C3" i="2"/>
  <c r="C4" i="2"/>
  <c r="C5" i="2"/>
  <c r="C6" i="2"/>
  <c r="C7" i="2"/>
  <c r="C8" i="2"/>
  <c r="D8" i="2" s="1"/>
  <c r="A29" i="2" s="1"/>
  <c r="C9" i="2"/>
  <c r="D9" i="2" s="1"/>
  <c r="A30" i="2" s="1"/>
  <c r="C10" i="2"/>
  <c r="D10" i="2" s="1"/>
  <c r="A31" i="2" s="1"/>
  <c r="C11" i="2"/>
  <c r="D11" i="2" s="1"/>
  <c r="A32" i="2" s="1"/>
  <c r="C12" i="2"/>
  <c r="C13" i="2"/>
  <c r="C14" i="2"/>
  <c r="C15" i="2"/>
  <c r="C16" i="2"/>
  <c r="C17" i="2"/>
  <c r="C18" i="2"/>
  <c r="C19" i="2"/>
  <c r="C20" i="2"/>
  <c r="D20" i="2" s="1"/>
  <c r="A41" i="2" s="1"/>
  <c r="C2" i="2"/>
  <c r="D2" i="2" s="1"/>
  <c r="A23" i="2" s="1"/>
  <c r="A55" i="1"/>
  <c r="A56" i="1"/>
  <c r="A57" i="1"/>
  <c r="A58" i="1"/>
  <c r="A59" i="1"/>
  <c r="A60" i="1"/>
  <c r="A61" i="1"/>
  <c r="A62" i="1"/>
  <c r="A63" i="1"/>
  <c r="A64" i="1"/>
  <c r="A65" i="1"/>
  <c r="A66" i="1"/>
  <c r="A54" i="1"/>
  <c r="N4" i="1"/>
  <c r="N5" i="1"/>
  <c r="N6" i="1"/>
  <c r="N7" i="1"/>
  <c r="N8" i="1"/>
  <c r="N9" i="1"/>
  <c r="N10" i="1"/>
  <c r="N11" i="1"/>
  <c r="N12" i="1"/>
  <c r="N13" i="1"/>
  <c r="N14" i="1"/>
  <c r="N15" i="1"/>
  <c r="N3" i="1"/>
  <c r="P4" i="1"/>
  <c r="P5" i="1"/>
  <c r="P6" i="1"/>
  <c r="P7" i="1"/>
  <c r="P8" i="1"/>
  <c r="P9" i="1"/>
  <c r="P10" i="1"/>
  <c r="P11" i="1"/>
  <c r="P12" i="1"/>
  <c r="P13" i="1"/>
  <c r="P14" i="1"/>
  <c r="P15" i="1"/>
  <c r="P3" i="1"/>
  <c r="B15" i="1"/>
  <c r="B16" i="1"/>
  <c r="G5" i="1"/>
  <c r="H5" i="1"/>
  <c r="G6" i="1"/>
  <c r="H6" i="1"/>
  <c r="G7" i="1"/>
  <c r="H7" i="1"/>
  <c r="G8" i="1"/>
  <c r="H8" i="1"/>
  <c r="G9" i="1"/>
  <c r="H9" i="1"/>
  <c r="G10" i="1"/>
  <c r="H10" i="1"/>
  <c r="G11" i="1"/>
  <c r="H11" i="1"/>
  <c r="G12" i="1"/>
  <c r="H12" i="1"/>
  <c r="G13" i="1"/>
  <c r="H13" i="1"/>
  <c r="G14" i="1"/>
  <c r="H14" i="1"/>
  <c r="G15" i="1"/>
  <c r="H15" i="1"/>
  <c r="B6" i="1"/>
  <c r="F6" i="1"/>
  <c r="B7" i="1"/>
  <c r="F7" i="1"/>
  <c r="B8" i="1"/>
  <c r="F8" i="1"/>
  <c r="B9" i="1"/>
  <c r="F9" i="1"/>
  <c r="B10" i="1"/>
  <c r="F10" i="1"/>
  <c r="B11" i="1"/>
  <c r="F11" i="1"/>
  <c r="B12" i="1"/>
  <c r="F12" i="1"/>
  <c r="B13" i="1"/>
  <c r="F13" i="1"/>
  <c r="B14" i="1"/>
  <c r="F14" i="1"/>
  <c r="F15" i="1"/>
  <c r="G4" i="1"/>
  <c r="H4" i="1"/>
  <c r="B5" i="1"/>
  <c r="F5" i="1"/>
  <c r="H3" i="1"/>
  <c r="G3" i="1"/>
  <c r="F4" i="1"/>
  <c r="F3" i="1"/>
  <c r="B4" i="1"/>
  <c r="B3" i="1"/>
  <c r="D2" i="1"/>
  <c r="E2" i="1" s="1"/>
  <c r="D19" i="2" l="1"/>
  <c r="A40" i="2" s="1"/>
  <c r="D7" i="2"/>
  <c r="A28" i="2" s="1"/>
  <c r="D18" i="2"/>
  <c r="A39" i="2" s="1"/>
  <c r="D6" i="2"/>
  <c r="A27" i="2" s="1"/>
  <c r="D17" i="2"/>
  <c r="A38" i="2" s="1"/>
  <c r="D5" i="2"/>
  <c r="A26" i="2" s="1"/>
  <c r="A19" i="1"/>
  <c r="O4" i="1"/>
  <c r="I3" i="1" s="1"/>
  <c r="A37" i="1" s="1"/>
  <c r="D3" i="1"/>
  <c r="E3" i="1" s="1"/>
  <c r="A20" i="1" l="1"/>
  <c r="D4" i="1"/>
  <c r="O5" i="1"/>
  <c r="D5" i="1" l="1"/>
  <c r="O6" i="1"/>
  <c r="I4" i="1"/>
  <c r="A38" i="1" s="1"/>
  <c r="E4" i="1"/>
  <c r="A21" i="1" s="1"/>
  <c r="O7" i="1" l="1"/>
  <c r="D6" i="1"/>
  <c r="I5" i="1"/>
  <c r="A39" i="1" s="1"/>
  <c r="E5" i="1"/>
  <c r="A22" i="1" s="1"/>
  <c r="E6" i="1" l="1"/>
  <c r="A23" i="1" s="1"/>
  <c r="I6" i="1"/>
  <c r="A40" i="1" s="1"/>
  <c r="O8" i="1"/>
  <c r="D7" i="1"/>
  <c r="E7" i="1" l="1"/>
  <c r="A24" i="1" s="1"/>
  <c r="O9" i="1"/>
  <c r="I7" i="1"/>
  <c r="A41" i="1" s="1"/>
  <c r="D8" i="1"/>
  <c r="E8" i="1" l="1"/>
  <c r="A25" i="1" s="1"/>
  <c r="O10" i="1"/>
  <c r="D9" i="1"/>
  <c r="I8" i="1"/>
  <c r="A42" i="1" s="1"/>
  <c r="E9" i="1" l="1"/>
  <c r="A26" i="1" s="1"/>
  <c r="O11" i="1"/>
  <c r="D10" i="1"/>
  <c r="I9" i="1"/>
  <c r="A43" i="1" s="1"/>
  <c r="E10" i="1" l="1"/>
  <c r="A27" i="1" s="1"/>
  <c r="O12" i="1"/>
  <c r="I10" i="1"/>
  <c r="A44" i="1" s="1"/>
  <c r="D11" i="1"/>
  <c r="E11" i="1" l="1"/>
  <c r="A28" i="1" s="1"/>
  <c r="O13" i="1"/>
  <c r="I11" i="1"/>
  <c r="A45" i="1" s="1"/>
  <c r="D12" i="1"/>
  <c r="E12" i="1" l="1"/>
  <c r="A29" i="1" s="1"/>
  <c r="O14" i="1"/>
  <c r="I12" i="1"/>
  <c r="A46" i="1" s="1"/>
  <c r="D13" i="1"/>
  <c r="E13" i="1" l="1"/>
  <c r="A30" i="1" s="1"/>
  <c r="D14" i="1"/>
  <c r="I13" i="1"/>
  <c r="A47" i="1" s="1"/>
  <c r="O15" i="1"/>
  <c r="I14" i="1" l="1"/>
  <c r="A48" i="1" s="1"/>
  <c r="D15" i="1"/>
  <c r="O16" i="1"/>
  <c r="E14" i="1"/>
  <c r="A31" i="1" s="1"/>
  <c r="I15" i="1" l="1"/>
  <c r="A49" i="1" s="1"/>
  <c r="D16" i="1"/>
  <c r="E15" i="1"/>
  <c r="A32" i="1" s="1"/>
  <c r="E16" i="1" l="1"/>
  <c r="A33" i="1" s="1"/>
</calcChain>
</file>

<file path=xl/sharedStrings.xml><?xml version="1.0" encoding="utf-8"?>
<sst xmlns="http://schemas.openxmlformats.org/spreadsheetml/2006/main" count="104" uniqueCount="52">
  <si>
    <t>n</t>
  </si>
  <si>
    <t>GND</t>
  </si>
  <si>
    <t>s</t>
  </si>
  <si>
    <t>km</t>
  </si>
  <si>
    <t>position</t>
  </si>
  <si>
    <t>M</t>
  </si>
  <si>
    <t>nid</t>
  </si>
  <si>
    <t>lid</t>
  </si>
  <si>
    <t>from</t>
  </si>
  <si>
    <t>to</t>
  </si>
  <si>
    <t>linje</t>
  </si>
  <si>
    <t>R</t>
  </si>
  <si>
    <t>length</t>
  </si>
  <si>
    <t>rPerKm</t>
  </si>
  <si>
    <r>
      <t xml:space="preserve">{ </t>
    </r>
    <r>
      <rPr>
        <sz val="9.8000000000000007"/>
        <color rgb="FF0033B3"/>
        <rFont val="JetBrains Mono"/>
        <family val="3"/>
      </rPr>
      <t xml:space="preserve">id </t>
    </r>
    <r>
      <rPr>
        <sz val="9.8000000000000007"/>
        <color rgb="FF080808"/>
        <rFont val="JetBrains Mono"/>
        <family val="3"/>
      </rPr>
      <t xml:space="preserve">= 0,  </t>
    </r>
    <r>
      <rPr>
        <sz val="9.8000000000000007"/>
        <color rgb="FF0033B3"/>
        <rFont val="JetBrains Mono"/>
        <family val="3"/>
      </rPr>
      <t xml:space="preserve">name </t>
    </r>
    <r>
      <rPr>
        <sz val="9.8000000000000007"/>
        <color rgb="FF080808"/>
        <rFont val="JetBrains Mono"/>
        <family val="3"/>
      </rPr>
      <t xml:space="preserve">= </t>
    </r>
    <r>
      <rPr>
        <sz val="9.8000000000000007"/>
        <color rgb="FF067D17"/>
        <rFont val="JetBrains Mono"/>
        <family val="3"/>
      </rPr>
      <t>"GND"</t>
    </r>
    <r>
      <rPr>
        <sz val="9.8000000000000007"/>
        <color rgb="FF080808"/>
        <rFont val="JetBrains Mono"/>
        <family val="3"/>
      </rPr>
      <t xml:space="preserve">,     </t>
    </r>
    <r>
      <rPr>
        <sz val="9.8000000000000007"/>
        <color rgb="FF0033B3"/>
        <rFont val="JetBrains Mono"/>
        <family val="3"/>
      </rPr>
      <t xml:space="preserve">position </t>
    </r>
    <r>
      <rPr>
        <sz val="9.8000000000000007"/>
        <color rgb="FF080808"/>
        <rFont val="JetBrains Mono"/>
        <family val="3"/>
      </rPr>
      <t xml:space="preserve">= </t>
    </r>
    <r>
      <rPr>
        <sz val="9.8000000000000007"/>
        <color rgb="FF067D17"/>
        <rFont val="JetBrains Mono"/>
        <family val="3"/>
      </rPr>
      <t>"1 0+000"</t>
    </r>
    <r>
      <rPr>
        <sz val="9.8000000000000007"/>
        <color rgb="FF080808"/>
        <rFont val="JetBrains Mono"/>
        <family val="3"/>
      </rPr>
      <t xml:space="preserve">  }</t>
    </r>
  </si>
  <si>
    <r>
      <t xml:space="preserve">{ </t>
    </r>
    <r>
      <rPr>
        <sz val="9.8000000000000007"/>
        <color rgb="FF0033B3"/>
        <rFont val="JetBrains Mono"/>
        <family val="3"/>
      </rPr>
      <t xml:space="preserve">id </t>
    </r>
    <r>
      <rPr>
        <sz val="9.8000000000000007"/>
        <color rgb="FF080808"/>
        <rFont val="JetBrains Mono"/>
        <family val="3"/>
      </rPr>
      <t xml:space="preserve">= </t>
    </r>
    <r>
      <rPr>
        <sz val="9.8000000000000007"/>
        <color rgb="FF067D17"/>
        <rFont val="JetBrains Mono"/>
        <family val="3"/>
      </rPr>
      <t>"L0"</t>
    </r>
    <r>
      <rPr>
        <sz val="9.8000000000000007"/>
        <color rgb="FF080808"/>
        <rFont val="JetBrains Mono"/>
        <family val="3"/>
      </rPr>
      <t xml:space="preserve">, </t>
    </r>
    <r>
      <rPr>
        <sz val="9.8000000000000007"/>
        <color rgb="FF0033B3"/>
        <rFont val="JetBrains Mono"/>
        <family val="3"/>
      </rPr>
      <t xml:space="preserve">from </t>
    </r>
    <r>
      <rPr>
        <sz val="9.8000000000000007"/>
        <color rgb="FF080808"/>
        <rFont val="JetBrains Mono"/>
        <family val="3"/>
      </rPr>
      <t xml:space="preserve">= 1, </t>
    </r>
    <r>
      <rPr>
        <sz val="9.8000000000000007"/>
        <color rgb="FF0033B3"/>
        <rFont val="JetBrains Mono"/>
        <family val="3"/>
      </rPr>
      <t xml:space="preserve">to </t>
    </r>
    <r>
      <rPr>
        <sz val="9.8000000000000007"/>
        <color rgb="FF080808"/>
        <rFont val="JetBrains Mono"/>
        <family val="3"/>
      </rPr>
      <t xml:space="preserve">= 2, </t>
    </r>
    <r>
      <rPr>
        <sz val="9.8000000000000007"/>
        <color rgb="FF0033B3"/>
        <rFont val="JetBrains Mono"/>
        <family val="3"/>
      </rPr>
      <t xml:space="preserve">lengthM </t>
    </r>
    <r>
      <rPr>
        <sz val="9.8000000000000007"/>
        <color rgb="FF080808"/>
        <rFont val="JetBrains Mono"/>
        <family val="3"/>
      </rPr>
      <t xml:space="preserve">= 1500, </t>
    </r>
    <r>
      <rPr>
        <sz val="9.8000000000000007"/>
        <color rgb="FF0033B3"/>
        <rFont val="JetBrains Mono"/>
        <family val="3"/>
      </rPr>
      <t xml:space="preserve">rPerKm </t>
    </r>
    <r>
      <rPr>
        <sz val="9.8000000000000007"/>
        <color rgb="FF080808"/>
        <rFont val="JetBrains Mono"/>
        <family val="3"/>
      </rPr>
      <t>= 0.03 }</t>
    </r>
  </si>
  <si>
    <r>
      <t xml:space="preserve">{ </t>
    </r>
    <r>
      <rPr>
        <sz val="9.8000000000000007"/>
        <color rgb="FF0033B3"/>
        <rFont val="JetBrains Mono"/>
        <family val="3"/>
      </rPr>
      <t xml:space="preserve">id </t>
    </r>
    <r>
      <rPr>
        <sz val="9.8000000000000007"/>
        <color rgb="FF080808"/>
        <rFont val="JetBrains Mono"/>
        <family val="3"/>
      </rPr>
      <t xml:space="preserve">= </t>
    </r>
    <r>
      <rPr>
        <sz val="9.8000000000000007"/>
        <color rgb="FF067D17"/>
        <rFont val="JetBrains Mono"/>
        <family val="3"/>
      </rPr>
      <t>"SS0"</t>
    </r>
    <r>
      <rPr>
        <sz val="9.8000000000000007"/>
        <color rgb="FF080808"/>
        <rFont val="JetBrains Mono"/>
        <family val="3"/>
      </rPr>
      <t xml:space="preserve">, </t>
    </r>
    <r>
      <rPr>
        <sz val="9.8000000000000007"/>
        <color rgb="FF0033B3"/>
        <rFont val="JetBrains Mono"/>
        <family val="3"/>
      </rPr>
      <t xml:space="preserve">nodeId </t>
    </r>
    <r>
      <rPr>
        <sz val="9.8000000000000007"/>
        <color rgb="FF080808"/>
        <rFont val="JetBrains Mono"/>
        <family val="3"/>
      </rPr>
      <t xml:space="preserve">= 1, </t>
    </r>
    <r>
      <rPr>
        <sz val="9.8000000000000007"/>
        <color rgb="FF0033B3"/>
        <rFont val="JetBrains Mono"/>
        <family val="3"/>
      </rPr>
      <t xml:space="preserve">emf </t>
    </r>
    <r>
      <rPr>
        <sz val="9.8000000000000007"/>
        <color rgb="FF080808"/>
        <rFont val="JetBrains Mono"/>
        <family val="3"/>
      </rPr>
      <t xml:space="preserve">= 900.0, </t>
    </r>
    <r>
      <rPr>
        <sz val="9.8000000000000007"/>
        <color rgb="FF0033B3"/>
        <rFont val="JetBrains Mono"/>
        <family val="3"/>
      </rPr>
      <t xml:space="preserve">internalResistance </t>
    </r>
    <r>
      <rPr>
        <sz val="9.8000000000000007"/>
        <color rgb="FF080808"/>
        <rFont val="JetBrains Mono"/>
        <family val="3"/>
      </rPr>
      <t xml:space="preserve">= 0.01, </t>
    </r>
    <r>
      <rPr>
        <sz val="9.8000000000000007"/>
        <color rgb="FF0033B3"/>
        <rFont val="JetBrains Mono"/>
        <family val="3"/>
      </rPr>
      <t xml:space="preserve">allowBackfeed </t>
    </r>
    <r>
      <rPr>
        <sz val="9.8000000000000007"/>
        <color rgb="FF080808"/>
        <rFont val="JetBrains Mono"/>
        <family val="3"/>
      </rPr>
      <t>= false }</t>
    </r>
  </si>
  <si>
    <t>substations</t>
  </si>
  <si>
    <t>sid</t>
  </si>
  <si>
    <t>emf</t>
  </si>
  <si>
    <t>intR</t>
  </si>
  <si>
    <t>allowFeedback</t>
  </si>
  <si>
    <t>position [m]</t>
  </si>
  <si>
    <t>FRÄ</t>
  </si>
  <si>
    <t>VÄT</t>
  </si>
  <si>
    <t>HSÅ</t>
  </si>
  <si>
    <t>TFP</t>
  </si>
  <si>
    <t>MIK</t>
  </si>
  <si>
    <t>LIH</t>
  </si>
  <si>
    <t>HOT</t>
  </si>
  <si>
    <t>ZID</t>
  </si>
  <si>
    <t>MRT</t>
  </si>
  <si>
    <t>SLU</t>
  </si>
  <si>
    <t>GAS</t>
  </si>
  <si>
    <t>TCE</t>
  </si>
  <si>
    <t>ÖMT</t>
  </si>
  <si>
    <t>STD</t>
  </si>
  <si>
    <t>TEH</t>
  </si>
  <si>
    <t>UNT</t>
  </si>
  <si>
    <t>BEH</t>
  </si>
  <si>
    <t>DAS</t>
  </si>
  <si>
    <t>MÖR</t>
  </si>
  <si>
    <r>
      <t xml:space="preserve">{ </t>
    </r>
    <r>
      <rPr>
        <sz val="9.8000000000000007"/>
        <color rgb="FF0033B3"/>
        <rFont val="JetBrains Mono"/>
        <family val="3"/>
      </rPr>
      <t xml:space="preserve">name </t>
    </r>
    <r>
      <rPr>
        <sz val="9.8000000000000007"/>
        <color rgb="FF080808"/>
        <rFont val="JetBrains Mono"/>
        <family val="3"/>
      </rPr>
      <t xml:space="preserve">= </t>
    </r>
    <r>
      <rPr>
        <sz val="9.8000000000000007"/>
        <color rgb="FF067D17"/>
        <rFont val="JetBrains Mono"/>
        <family val="3"/>
      </rPr>
      <t>"A"</t>
    </r>
    <r>
      <rPr>
        <sz val="9.8000000000000007"/>
        <color rgb="FF080808"/>
        <rFont val="JetBrains Mono"/>
        <family val="3"/>
      </rPr>
      <t xml:space="preserve">, </t>
    </r>
    <r>
      <rPr>
        <sz val="9.8000000000000007"/>
        <color rgb="FF0033B3"/>
        <rFont val="JetBrains Mono"/>
        <family val="3"/>
      </rPr>
      <t xml:space="preserve">abbreviation </t>
    </r>
    <r>
      <rPr>
        <sz val="9.8000000000000007"/>
        <color rgb="FF080808"/>
        <rFont val="JetBrains Mono"/>
        <family val="3"/>
      </rPr>
      <t xml:space="preserve">= </t>
    </r>
    <r>
      <rPr>
        <sz val="9.8000000000000007"/>
        <color rgb="FF067D17"/>
        <rFont val="JetBrains Mono"/>
        <family val="3"/>
      </rPr>
      <t>"A"</t>
    </r>
    <r>
      <rPr>
        <sz val="9.8000000000000007"/>
        <color rgb="FF080808"/>
        <rFont val="JetBrains Mono"/>
        <family val="3"/>
      </rPr>
      <t xml:space="preserve">, </t>
    </r>
    <r>
      <rPr>
        <sz val="9.8000000000000007"/>
        <color rgb="FF0033B3"/>
        <rFont val="JetBrains Mono"/>
        <family val="3"/>
      </rPr>
      <t xml:space="preserve">position </t>
    </r>
    <r>
      <rPr>
        <sz val="9.8000000000000007"/>
        <color rgb="FF080808"/>
        <rFont val="JetBrains Mono"/>
        <family val="3"/>
      </rPr>
      <t xml:space="preserve">= </t>
    </r>
    <r>
      <rPr>
        <sz val="9.8000000000000007"/>
        <color rgb="FF067D17"/>
        <rFont val="JetBrains Mono"/>
        <family val="3"/>
      </rPr>
      <t>"1 0+000"</t>
    </r>
    <r>
      <rPr>
        <sz val="9.8000000000000007"/>
        <color rgb="FF080808"/>
        <rFont val="JetBrains Mono"/>
        <family val="3"/>
      </rPr>
      <t xml:space="preserve"> }</t>
    </r>
  </si>
  <si>
    <t>name</t>
  </si>
  <si>
    <t>m</t>
  </si>
  <si>
    <r>
      <t xml:space="preserve">{ </t>
    </r>
    <r>
      <rPr>
        <sz val="9.8000000000000007"/>
        <color rgb="FF0033B3"/>
        <rFont val="JetBrains Mono"/>
        <family val="3"/>
      </rPr>
      <t xml:space="preserve">signature </t>
    </r>
    <r>
      <rPr>
        <sz val="9.8000000000000007"/>
        <color rgb="FF080808"/>
        <rFont val="JetBrains Mono"/>
        <family val="3"/>
      </rPr>
      <t xml:space="preserve">= </t>
    </r>
    <r>
      <rPr>
        <sz val="9.8000000000000007"/>
        <color rgb="FF067D17"/>
        <rFont val="JetBrains Mono"/>
        <family val="3"/>
      </rPr>
      <t>"A"</t>
    </r>
    <r>
      <rPr>
        <sz val="9.8000000000000007"/>
        <color rgb="FF080808"/>
        <rFont val="JetBrains Mono"/>
        <family val="3"/>
      </rPr>
      <t xml:space="preserve">, </t>
    </r>
    <r>
      <rPr>
        <sz val="9.8000000000000007"/>
        <color rgb="FF0033B3"/>
        <rFont val="JetBrains Mono"/>
        <family val="3"/>
      </rPr>
      <t xml:space="preserve">departure </t>
    </r>
    <r>
      <rPr>
        <sz val="9.8000000000000007"/>
        <color rgb="FF080808"/>
        <rFont val="JetBrains Mono"/>
        <family val="3"/>
      </rPr>
      <t xml:space="preserve">= </t>
    </r>
    <r>
      <rPr>
        <sz val="9.8000000000000007"/>
        <color rgb="FF067D17"/>
        <rFont val="JetBrains Mono"/>
        <family val="3"/>
      </rPr>
      <t>"00:00:00"</t>
    </r>
    <r>
      <rPr>
        <sz val="9.8000000000000007"/>
        <color rgb="FF080808"/>
        <rFont val="JetBrains Mono"/>
        <family val="3"/>
      </rPr>
      <t xml:space="preserve"> },</t>
    </r>
  </si>
  <si>
    <t>Station</t>
  </si>
  <si>
    <t>Arrival</t>
  </si>
  <si>
    <t>Departure</t>
  </si>
  <si>
    <r>
      <t xml:space="preserve">{ </t>
    </r>
    <r>
      <rPr>
        <sz val="9.8000000000000007"/>
        <color rgb="FF0033B3"/>
        <rFont val="JetBrains Mono"/>
        <family val="3"/>
      </rPr>
      <t xml:space="preserve">fromStation </t>
    </r>
    <r>
      <rPr>
        <sz val="9.8000000000000007"/>
        <color rgb="FF080808"/>
        <rFont val="JetBrains Mono"/>
        <family val="3"/>
      </rPr>
      <t xml:space="preserve">= </t>
    </r>
    <r>
      <rPr>
        <sz val="9.8000000000000007"/>
        <color rgb="FF067D17"/>
        <rFont val="JetBrains Mono"/>
        <family val="3"/>
      </rPr>
      <t>"A"</t>
    </r>
    <r>
      <rPr>
        <sz val="9.8000000000000007"/>
        <color rgb="FF080808"/>
        <rFont val="JetBrains Mono"/>
        <family val="3"/>
      </rPr>
      <t xml:space="preserve">, </t>
    </r>
    <r>
      <rPr>
        <sz val="9.8000000000000007"/>
        <color rgb="FF0033B3"/>
        <rFont val="JetBrains Mono"/>
        <family val="3"/>
      </rPr>
      <t xml:space="preserve">toStation </t>
    </r>
    <r>
      <rPr>
        <sz val="9.8000000000000007"/>
        <color rgb="FF080808"/>
        <rFont val="JetBrains Mono"/>
        <family val="3"/>
      </rPr>
      <t xml:space="preserve">= </t>
    </r>
    <r>
      <rPr>
        <sz val="9.8000000000000007"/>
        <color rgb="FF067D17"/>
        <rFont val="JetBrains Mono"/>
        <family val="3"/>
      </rPr>
      <t>"B"</t>
    </r>
    <r>
      <rPr>
        <sz val="9.8000000000000007"/>
        <color rgb="FF080808"/>
        <rFont val="JetBrains Mono"/>
        <family val="3"/>
      </rPr>
      <t xml:space="preserve">, </t>
    </r>
    <r>
      <rPr>
        <sz val="9.8000000000000007"/>
        <color rgb="FF0033B3"/>
        <rFont val="JetBrains Mono"/>
        <family val="3"/>
      </rPr>
      <t xml:space="preserve">file </t>
    </r>
    <r>
      <rPr>
        <sz val="9.8000000000000007"/>
        <color rgb="FF080808"/>
        <rFont val="JetBrains Mono"/>
        <family val="3"/>
      </rPr>
      <t xml:space="preserve">= </t>
    </r>
    <r>
      <rPr>
        <sz val="9.8000000000000007"/>
        <color rgb="FF067D17"/>
        <rFont val="JetBrains Mono"/>
        <family val="3"/>
      </rPr>
      <t>"A-B.xlsx"</t>
    </r>
    <r>
      <rPr>
        <sz val="9.8000000000000007"/>
        <color rgb="FF080808"/>
        <rFont val="JetBrains Mono"/>
        <family val="3"/>
      </rPr>
      <t xml:space="preserve"> }  </t>
    </r>
    <r>
      <rPr>
        <i/>
        <sz val="9.8000000000000007"/>
        <color rgb="FF8C8C8C"/>
        <rFont val="JetBrains Mono"/>
        <family val="3"/>
      </rPr>
      <t># t.ex. kolumner: time[s], P[kW]</t>
    </r>
  </si>
  <si>
    <t>train</t>
  </si>
  <si>
    <t>1n_timetable_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</si>
</sst>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[$-F400]h:mm:ss\ AM/PM"/>
  </numFmts>
  <fonts count="6">
    <font>
      <sz val="11"/>
      <color theme="1"/>
      <name val="Calibri"/>
      <family val="2"/>
      <scheme val="minor"/>
    </font>
    <font>
      <sz val="9.8000000000000007"/>
      <color rgb="FF080808"/>
      <name val="JetBrains Mono"/>
      <family val="3"/>
    </font>
    <font>
      <sz val="9.8000000000000007"/>
      <color rgb="FF0033B3"/>
      <name val="JetBrains Mono"/>
      <family val="3"/>
    </font>
    <font>
      <sz val="9.8000000000000007"/>
      <color rgb="FF067D17"/>
      <name val="JetBrains Mono"/>
      <family val="3"/>
    </font>
    <font>
      <b/>
      <sz val="11"/>
      <name val="Calibri"/>
      <family val="2"/>
      <scheme val="minor"/>
    </font>
    <font>
      <i/>
      <sz val="9.8000000000000007"/>
      <color rgb="FF8C8C8C"/>
      <name val="JetBrains Mono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168" fontId="0" fillId="0" borderId="0" xfId="0" applyNumberFormat="1"/>
    <xf numFmtId="0" fontId="4" fillId="0" borderId="0" xfId="0" applyFont="1" applyAlignment="1">
      <alignment horizontal="left" vertical="top"/>
    </xf>
    <xf numFmtId="168" fontId="4" fillId="0" borderId="0" xfId="0" applyNumberFormat="1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9BF2A-4C24-4BAF-A69C-4BBC8F195119}">
  <dimension ref="A1:P66"/>
  <sheetViews>
    <sheetView workbookViewId="0">
      <selection activeCell="J29" sqref="J29"/>
    </sheetView>
  </sheetViews>
  <sheetFormatPr defaultRowHeight="15"/>
  <cols>
    <col min="17" max="17" width="45.7109375" bestFit="1" customWidth="1"/>
  </cols>
  <sheetData>
    <row r="1" spans="1:16">
      <c r="A1" t="s">
        <v>0</v>
      </c>
      <c r="B1" t="s">
        <v>6</v>
      </c>
      <c r="C1" t="s">
        <v>2</v>
      </c>
      <c r="D1" t="s">
        <v>3</v>
      </c>
      <c r="E1" t="s">
        <v>5</v>
      </c>
      <c r="F1" t="s">
        <v>7</v>
      </c>
      <c r="G1" t="s">
        <v>8</v>
      </c>
      <c r="H1" t="s">
        <v>9</v>
      </c>
      <c r="I1" t="s">
        <v>12</v>
      </c>
      <c r="J1" t="s">
        <v>13</v>
      </c>
      <c r="K1" t="s">
        <v>19</v>
      </c>
      <c r="L1" t="s">
        <v>20</v>
      </c>
      <c r="M1" t="s">
        <v>10</v>
      </c>
      <c r="N1" t="s">
        <v>21</v>
      </c>
      <c r="O1" t="s">
        <v>4</v>
      </c>
      <c r="P1" t="s">
        <v>18</v>
      </c>
    </row>
    <row r="2" spans="1:16">
      <c r="A2">
        <v>0</v>
      </c>
      <c r="B2" t="s">
        <v>1</v>
      </c>
      <c r="C2">
        <v>0</v>
      </c>
      <c r="D2">
        <f>INT(O2/1000)</f>
        <v>0</v>
      </c>
      <c r="E2">
        <f>ROUND((O2-D2/1000),0)</f>
        <v>0</v>
      </c>
      <c r="M2">
        <v>0</v>
      </c>
      <c r="O2">
        <v>0</v>
      </c>
    </row>
    <row r="3" spans="1:16">
      <c r="A3">
        <v>1</v>
      </c>
      <c r="B3" t="str">
        <f>CONCATENATE(M3,A3)</f>
        <v>R1</v>
      </c>
      <c r="C3">
        <v>1</v>
      </c>
      <c r="D3">
        <f t="shared" ref="D3:D4" si="0">INT(O3/1000)</f>
        <v>1</v>
      </c>
      <c r="E3">
        <f t="shared" ref="E3:E4" si="1">ROUND((O3-D3/1000),0)</f>
        <v>1500</v>
      </c>
      <c r="F3" t="str">
        <f>CONCATENATE("L_",M3,"_",,A2,"_",A3)</f>
        <v>L_R_0_1</v>
      </c>
      <c r="G3">
        <f>A3</f>
        <v>1</v>
      </c>
      <c r="H3">
        <f>A4</f>
        <v>2</v>
      </c>
      <c r="I3">
        <f>O4-O3</f>
        <v>1500</v>
      </c>
      <c r="J3">
        <v>0.03</v>
      </c>
      <c r="K3">
        <v>900</v>
      </c>
      <c r="L3">
        <v>0.03</v>
      </c>
      <c r="M3" t="s">
        <v>11</v>
      </c>
      <c r="N3" t="str">
        <f>LOWER(FALSE)</f>
        <v>false</v>
      </c>
      <c r="O3">
        <v>1500</v>
      </c>
      <c r="P3" t="str">
        <f>CONCATENATE("SS",A3)</f>
        <v>SS1</v>
      </c>
    </row>
    <row r="4" spans="1:16">
      <c r="A4">
        <v>2</v>
      </c>
      <c r="B4" t="str">
        <f>CONCATENATE(M4,A4)</f>
        <v>R2</v>
      </c>
      <c r="C4">
        <v>1</v>
      </c>
      <c r="D4">
        <f t="shared" si="0"/>
        <v>3</v>
      </c>
      <c r="E4">
        <f t="shared" si="1"/>
        <v>3000</v>
      </c>
      <c r="F4" t="str">
        <f>CONCATENATE("L_",M4,"_",,A3,"_",A4)</f>
        <v>L_R_1_2</v>
      </c>
      <c r="G4">
        <f>A4</f>
        <v>2</v>
      </c>
      <c r="H4">
        <f>A5</f>
        <v>3</v>
      </c>
      <c r="I4">
        <f>O5-O4</f>
        <v>1500</v>
      </c>
      <c r="J4">
        <v>0.03</v>
      </c>
      <c r="K4">
        <v>900</v>
      </c>
      <c r="L4">
        <v>0.03</v>
      </c>
      <c r="M4" t="s">
        <v>11</v>
      </c>
      <c r="N4" t="str">
        <f t="shared" ref="N4:N15" si="2">LOWER(FALSE)</f>
        <v>false</v>
      </c>
      <c r="O4">
        <f>O3+1500</f>
        <v>3000</v>
      </c>
      <c r="P4" t="str">
        <f t="shared" ref="P4:P15" si="3">CONCATENATE("SS",A4)</f>
        <v>SS2</v>
      </c>
    </row>
    <row r="5" spans="1:16">
      <c r="A5">
        <v>3</v>
      </c>
      <c r="B5" t="str">
        <f>CONCATENATE(M5,A5)</f>
        <v>R3</v>
      </c>
      <c r="C5">
        <v>1</v>
      </c>
      <c r="D5">
        <f t="shared" ref="D5:D6" si="4">INT(O5/1000)</f>
        <v>4</v>
      </c>
      <c r="E5">
        <f t="shared" ref="E5:E6" si="5">ROUND((O5-D5/1000),0)</f>
        <v>4500</v>
      </c>
      <c r="F5" t="str">
        <f>CONCATENATE("L_",M5,"_",,A4,"_",A5)</f>
        <v>L_R_2_3</v>
      </c>
      <c r="G5">
        <f t="shared" ref="G5:G15" si="6">A5</f>
        <v>3</v>
      </c>
      <c r="H5">
        <f t="shared" ref="H5:H15" si="7">A6</f>
        <v>4</v>
      </c>
      <c r="I5">
        <f t="shared" ref="I5:I15" si="8">O6-O5</f>
        <v>1500</v>
      </c>
      <c r="J5">
        <v>0.03</v>
      </c>
      <c r="K5">
        <v>900</v>
      </c>
      <c r="L5">
        <v>0.03</v>
      </c>
      <c r="M5" t="s">
        <v>11</v>
      </c>
      <c r="N5" t="str">
        <f t="shared" si="2"/>
        <v>false</v>
      </c>
      <c r="O5">
        <f>O4+1500</f>
        <v>4500</v>
      </c>
      <c r="P5" t="str">
        <f t="shared" si="3"/>
        <v>SS3</v>
      </c>
    </row>
    <row r="6" spans="1:16">
      <c r="A6">
        <v>4</v>
      </c>
      <c r="B6" t="str">
        <f>CONCATENATE(M6,A6)</f>
        <v>R4</v>
      </c>
      <c r="C6">
        <v>1</v>
      </c>
      <c r="D6">
        <f t="shared" si="4"/>
        <v>6</v>
      </c>
      <c r="E6">
        <f t="shared" si="5"/>
        <v>6000</v>
      </c>
      <c r="F6" t="str">
        <f>CONCATENATE("L_",M6,"_",,A5,"_",A6)</f>
        <v>L_R_3_4</v>
      </c>
      <c r="G6">
        <f t="shared" si="6"/>
        <v>4</v>
      </c>
      <c r="H6">
        <f t="shared" si="7"/>
        <v>5</v>
      </c>
      <c r="I6">
        <f t="shared" si="8"/>
        <v>1500</v>
      </c>
      <c r="J6">
        <v>0.03</v>
      </c>
      <c r="K6">
        <v>900</v>
      </c>
      <c r="L6">
        <v>0.03</v>
      </c>
      <c r="M6" t="s">
        <v>11</v>
      </c>
      <c r="N6" t="str">
        <f t="shared" si="2"/>
        <v>false</v>
      </c>
      <c r="O6">
        <f t="shared" ref="O6:O14" si="9">O5+1500</f>
        <v>6000</v>
      </c>
      <c r="P6" t="str">
        <f t="shared" si="3"/>
        <v>SS4</v>
      </c>
    </row>
    <row r="7" spans="1:16">
      <c r="A7">
        <v>5</v>
      </c>
      <c r="B7" t="str">
        <f>CONCATENATE(M7,A7)</f>
        <v>R5</v>
      </c>
      <c r="C7">
        <v>1</v>
      </c>
      <c r="D7">
        <f t="shared" ref="D7:D16" si="10">INT(O7/1000)</f>
        <v>7</v>
      </c>
      <c r="E7">
        <f t="shared" ref="E7:E16" si="11">ROUND((O7-D7/1000),0)</f>
        <v>7500</v>
      </c>
      <c r="F7" t="str">
        <f>CONCATENATE("L_",M7,"_",,A6,"_",A7)</f>
        <v>L_R_4_5</v>
      </c>
      <c r="G7">
        <f t="shared" si="6"/>
        <v>5</v>
      </c>
      <c r="H7">
        <f t="shared" si="7"/>
        <v>6</v>
      </c>
      <c r="I7">
        <f t="shared" si="8"/>
        <v>1500</v>
      </c>
      <c r="J7">
        <v>0.03</v>
      </c>
      <c r="K7">
        <v>900</v>
      </c>
      <c r="L7">
        <v>0.03</v>
      </c>
      <c r="M7" t="s">
        <v>11</v>
      </c>
      <c r="N7" t="str">
        <f t="shared" si="2"/>
        <v>false</v>
      </c>
      <c r="O7">
        <f t="shared" si="9"/>
        <v>7500</v>
      </c>
      <c r="P7" t="str">
        <f t="shared" si="3"/>
        <v>SS5</v>
      </c>
    </row>
    <row r="8" spans="1:16">
      <c r="A8">
        <v>6</v>
      </c>
      <c r="B8" t="str">
        <f>CONCATENATE(M8,A8)</f>
        <v>R6</v>
      </c>
      <c r="C8">
        <v>1</v>
      </c>
      <c r="D8">
        <f t="shared" si="10"/>
        <v>9</v>
      </c>
      <c r="E8">
        <f t="shared" si="11"/>
        <v>9000</v>
      </c>
      <c r="F8" t="str">
        <f>CONCATENATE("L_",M8,"_",,A7,"_",A8)</f>
        <v>L_R_5_6</v>
      </c>
      <c r="G8">
        <f t="shared" si="6"/>
        <v>6</v>
      </c>
      <c r="H8">
        <f t="shared" si="7"/>
        <v>7</v>
      </c>
      <c r="I8">
        <f t="shared" si="8"/>
        <v>1500</v>
      </c>
      <c r="J8">
        <v>0.03</v>
      </c>
      <c r="K8">
        <v>900</v>
      </c>
      <c r="L8">
        <v>0.03</v>
      </c>
      <c r="M8" t="s">
        <v>11</v>
      </c>
      <c r="N8" t="str">
        <f t="shared" si="2"/>
        <v>false</v>
      </c>
      <c r="O8">
        <f t="shared" si="9"/>
        <v>9000</v>
      </c>
      <c r="P8" t="str">
        <f t="shared" si="3"/>
        <v>SS6</v>
      </c>
    </row>
    <row r="9" spans="1:16">
      <c r="A9">
        <v>7</v>
      </c>
      <c r="B9" t="str">
        <f>CONCATENATE(M9,A9)</f>
        <v>R7</v>
      </c>
      <c r="C9">
        <v>1</v>
      </c>
      <c r="D9">
        <f t="shared" si="10"/>
        <v>10</v>
      </c>
      <c r="E9">
        <f t="shared" si="11"/>
        <v>10500</v>
      </c>
      <c r="F9" t="str">
        <f>CONCATENATE("L_",M9,"_",,A8,"_",A9)</f>
        <v>L_R_6_7</v>
      </c>
      <c r="G9">
        <f t="shared" si="6"/>
        <v>7</v>
      </c>
      <c r="H9">
        <f t="shared" si="7"/>
        <v>8</v>
      </c>
      <c r="I9">
        <f t="shared" si="8"/>
        <v>1500</v>
      </c>
      <c r="J9">
        <v>0.03</v>
      </c>
      <c r="K9">
        <v>900</v>
      </c>
      <c r="L9">
        <v>0.03</v>
      </c>
      <c r="M9" t="s">
        <v>11</v>
      </c>
      <c r="N9" t="str">
        <f t="shared" si="2"/>
        <v>false</v>
      </c>
      <c r="O9">
        <f t="shared" si="9"/>
        <v>10500</v>
      </c>
      <c r="P9" t="str">
        <f t="shared" si="3"/>
        <v>SS7</v>
      </c>
    </row>
    <row r="10" spans="1:16">
      <c r="A10">
        <v>8</v>
      </c>
      <c r="B10" t="str">
        <f>CONCATENATE(M10,A10)</f>
        <v>R8</v>
      </c>
      <c r="C10">
        <v>1</v>
      </c>
      <c r="D10">
        <f t="shared" si="10"/>
        <v>12</v>
      </c>
      <c r="E10">
        <f t="shared" si="11"/>
        <v>12000</v>
      </c>
      <c r="F10" t="str">
        <f>CONCATENATE("L_",M10,"_",,A9,"_",A10)</f>
        <v>L_R_7_8</v>
      </c>
      <c r="G10">
        <f t="shared" si="6"/>
        <v>8</v>
      </c>
      <c r="H10">
        <f t="shared" si="7"/>
        <v>9</v>
      </c>
      <c r="I10">
        <f t="shared" si="8"/>
        <v>1500</v>
      </c>
      <c r="J10">
        <v>0.03</v>
      </c>
      <c r="K10">
        <v>900</v>
      </c>
      <c r="L10">
        <v>0.03</v>
      </c>
      <c r="M10" t="s">
        <v>11</v>
      </c>
      <c r="N10" t="str">
        <f t="shared" si="2"/>
        <v>false</v>
      </c>
      <c r="O10">
        <f t="shared" si="9"/>
        <v>12000</v>
      </c>
      <c r="P10" t="str">
        <f t="shared" si="3"/>
        <v>SS8</v>
      </c>
    </row>
    <row r="11" spans="1:16">
      <c r="A11">
        <v>9</v>
      </c>
      <c r="B11" t="str">
        <f>CONCATENATE(M11,A11)</f>
        <v>R9</v>
      </c>
      <c r="C11">
        <v>1</v>
      </c>
      <c r="D11">
        <f t="shared" si="10"/>
        <v>13</v>
      </c>
      <c r="E11">
        <f t="shared" si="11"/>
        <v>13500</v>
      </c>
      <c r="F11" t="str">
        <f>CONCATENATE("L_",M11,"_",,A10,"_",A11)</f>
        <v>L_R_8_9</v>
      </c>
      <c r="G11">
        <f t="shared" si="6"/>
        <v>9</v>
      </c>
      <c r="H11">
        <f t="shared" si="7"/>
        <v>10</v>
      </c>
      <c r="I11">
        <f t="shared" si="8"/>
        <v>1500</v>
      </c>
      <c r="J11">
        <v>0.03</v>
      </c>
      <c r="K11">
        <v>900</v>
      </c>
      <c r="L11">
        <v>0.03</v>
      </c>
      <c r="M11" t="s">
        <v>11</v>
      </c>
      <c r="N11" t="str">
        <f t="shared" si="2"/>
        <v>false</v>
      </c>
      <c r="O11">
        <f t="shared" si="9"/>
        <v>13500</v>
      </c>
      <c r="P11" t="str">
        <f t="shared" si="3"/>
        <v>SS9</v>
      </c>
    </row>
    <row r="12" spans="1:16">
      <c r="A12">
        <v>10</v>
      </c>
      <c r="B12" t="str">
        <f>CONCATENATE(M12,A12)</f>
        <v>R10</v>
      </c>
      <c r="C12">
        <v>1</v>
      </c>
      <c r="D12">
        <f t="shared" si="10"/>
        <v>15</v>
      </c>
      <c r="E12">
        <f t="shared" si="11"/>
        <v>15000</v>
      </c>
      <c r="F12" t="str">
        <f>CONCATENATE("L_",M12,"_",,A11,"_",A12)</f>
        <v>L_R_9_10</v>
      </c>
      <c r="G12">
        <f t="shared" si="6"/>
        <v>10</v>
      </c>
      <c r="H12">
        <f t="shared" si="7"/>
        <v>11</v>
      </c>
      <c r="I12">
        <f t="shared" si="8"/>
        <v>1500</v>
      </c>
      <c r="J12">
        <v>0.03</v>
      </c>
      <c r="K12">
        <v>900</v>
      </c>
      <c r="L12">
        <v>0.03</v>
      </c>
      <c r="M12" t="s">
        <v>11</v>
      </c>
      <c r="N12" t="str">
        <f t="shared" si="2"/>
        <v>false</v>
      </c>
      <c r="O12">
        <f t="shared" si="9"/>
        <v>15000</v>
      </c>
      <c r="P12" t="str">
        <f t="shared" si="3"/>
        <v>SS10</v>
      </c>
    </row>
    <row r="13" spans="1:16">
      <c r="A13">
        <v>11</v>
      </c>
      <c r="B13" t="str">
        <f>CONCATENATE(M13,A13)</f>
        <v>R11</v>
      </c>
      <c r="C13">
        <v>1</v>
      </c>
      <c r="D13">
        <f t="shared" si="10"/>
        <v>16</v>
      </c>
      <c r="E13">
        <f t="shared" si="11"/>
        <v>16500</v>
      </c>
      <c r="F13" t="str">
        <f>CONCATENATE("L_",M13,"_",,A12,"_",A13)</f>
        <v>L_R_10_11</v>
      </c>
      <c r="G13">
        <f t="shared" si="6"/>
        <v>11</v>
      </c>
      <c r="H13">
        <f t="shared" si="7"/>
        <v>12</v>
      </c>
      <c r="I13">
        <f t="shared" si="8"/>
        <v>1500</v>
      </c>
      <c r="J13">
        <v>0.03</v>
      </c>
      <c r="K13">
        <v>900</v>
      </c>
      <c r="L13">
        <v>0.03</v>
      </c>
      <c r="M13" t="s">
        <v>11</v>
      </c>
      <c r="N13" t="str">
        <f t="shared" si="2"/>
        <v>false</v>
      </c>
      <c r="O13">
        <f t="shared" si="9"/>
        <v>16500</v>
      </c>
      <c r="P13" t="str">
        <f t="shared" si="3"/>
        <v>SS11</v>
      </c>
    </row>
    <row r="14" spans="1:16">
      <c r="A14">
        <v>12</v>
      </c>
      <c r="B14" t="str">
        <f>CONCATENATE(M14,A14)</f>
        <v>R12</v>
      </c>
      <c r="C14">
        <v>1</v>
      </c>
      <c r="D14">
        <f t="shared" si="10"/>
        <v>18</v>
      </c>
      <c r="E14">
        <f t="shared" si="11"/>
        <v>18000</v>
      </c>
      <c r="F14" t="str">
        <f>CONCATENATE("L_",M14,"_",,A13,"_",A14)</f>
        <v>L_R_11_12</v>
      </c>
      <c r="G14">
        <f t="shared" si="6"/>
        <v>12</v>
      </c>
      <c r="H14">
        <f t="shared" si="7"/>
        <v>13</v>
      </c>
      <c r="I14">
        <f t="shared" si="8"/>
        <v>1500</v>
      </c>
      <c r="J14">
        <v>0.03</v>
      </c>
      <c r="K14">
        <v>900</v>
      </c>
      <c r="L14">
        <v>0.03</v>
      </c>
      <c r="M14" t="s">
        <v>11</v>
      </c>
      <c r="N14" t="str">
        <f t="shared" si="2"/>
        <v>false</v>
      </c>
      <c r="O14">
        <f t="shared" si="9"/>
        <v>18000</v>
      </c>
      <c r="P14" t="str">
        <f t="shared" si="3"/>
        <v>SS12</v>
      </c>
    </row>
    <row r="15" spans="1:16">
      <c r="A15">
        <v>13</v>
      </c>
      <c r="B15" t="str">
        <f>CONCATENATE(M15,A15)</f>
        <v>R13</v>
      </c>
      <c r="C15">
        <v>1</v>
      </c>
      <c r="D15">
        <f t="shared" si="10"/>
        <v>19</v>
      </c>
      <c r="E15">
        <f t="shared" si="11"/>
        <v>19500</v>
      </c>
      <c r="F15" t="str">
        <f>CONCATENATE("L_",M15,"_",,A14,"_",A15)</f>
        <v>L_R_12_13</v>
      </c>
      <c r="G15">
        <f t="shared" si="6"/>
        <v>13</v>
      </c>
      <c r="H15">
        <f t="shared" si="7"/>
        <v>14</v>
      </c>
      <c r="I15">
        <f t="shared" si="8"/>
        <v>1500</v>
      </c>
      <c r="J15">
        <v>0.03</v>
      </c>
      <c r="K15">
        <v>900</v>
      </c>
      <c r="L15">
        <v>0.03</v>
      </c>
      <c r="M15" t="s">
        <v>11</v>
      </c>
      <c r="N15" t="str">
        <f t="shared" si="2"/>
        <v>false</v>
      </c>
      <c r="O15">
        <f>O14+1500</f>
        <v>19500</v>
      </c>
      <c r="P15" t="str">
        <f t="shared" si="3"/>
        <v>SS13</v>
      </c>
    </row>
    <row r="16" spans="1:16">
      <c r="A16">
        <v>14</v>
      </c>
      <c r="B16" t="str">
        <f>CONCATENATE(M16,A16)</f>
        <v>R14</v>
      </c>
      <c r="C16">
        <v>1</v>
      </c>
      <c r="D16">
        <f t="shared" si="10"/>
        <v>21</v>
      </c>
      <c r="E16">
        <f t="shared" si="11"/>
        <v>21000</v>
      </c>
      <c r="M16" t="s">
        <v>11</v>
      </c>
      <c r="O16">
        <f>O15+1500</f>
        <v>21000</v>
      </c>
    </row>
    <row r="18" spans="1:1">
      <c r="A18" s="1" t="s">
        <v>14</v>
      </c>
    </row>
    <row r="19" spans="1:1">
      <c r="A19" t="str">
        <f>CONCATENATE("      { id = ", A2,", name = """,B2,""", position = ", C2," ",D2,"+",E2," }")</f>
        <v xml:space="preserve">      { id = 0, name = "GND", position = 0 0+0 }</v>
      </c>
    </row>
    <row r="20" spans="1:1">
      <c r="A20" t="str">
        <f>CONCATENATE("      { id = ", A3,", name = """,B3,""", position = ", C3," ",D3,"+",E3," }")</f>
        <v xml:space="preserve">      { id = 1, name = "R1", position = 1 1+1500 }</v>
      </c>
    </row>
    <row r="21" spans="1:1">
      <c r="A21" t="str">
        <f>CONCATENATE("      { id = ", A4,", name = """,B4,""", position = ", C4," ",D4,"+",E4," }")</f>
        <v xml:space="preserve">      { id = 2, name = "R2", position = 1 3+3000 }</v>
      </c>
    </row>
    <row r="22" spans="1:1">
      <c r="A22" t="str">
        <f>CONCATENATE("      { id = ", A5,", name = """,B5,""", position = ", C5," ",D5,"+",E5," }")</f>
        <v xml:space="preserve">      { id = 3, name = "R3", position = 1 4+4500 }</v>
      </c>
    </row>
    <row r="23" spans="1:1">
      <c r="A23" t="str">
        <f>CONCATENATE("      { id = ", A6,", name = """,B6,""", position = ", C6," ",D6,"+",E6," }")</f>
        <v xml:space="preserve">      { id = 4, name = "R4", position = 1 6+6000 }</v>
      </c>
    </row>
    <row r="24" spans="1:1">
      <c r="A24" t="str">
        <f>CONCATENATE("      { id = ", A7,", name = """,B7,""", position = ", C7," ",D7,"+",E7," }")</f>
        <v xml:space="preserve">      { id = 5, name = "R5", position = 1 7+7500 }</v>
      </c>
    </row>
    <row r="25" spans="1:1">
      <c r="A25" t="str">
        <f>CONCATENATE("      { id = ", A8,", name = """,B8,""", position = ", C8," ",D8,"+",E8," }")</f>
        <v xml:space="preserve">      { id = 6, name = "R6", position = 1 9+9000 }</v>
      </c>
    </row>
    <row r="26" spans="1:1">
      <c r="A26" t="str">
        <f>CONCATENATE("      { id = ", A9,", name = """,B9,""", position = ", C9," ",D9,"+",E9," }")</f>
        <v xml:space="preserve">      { id = 7, name = "R7", position = 1 10+10500 }</v>
      </c>
    </row>
    <row r="27" spans="1:1">
      <c r="A27" t="str">
        <f>CONCATENATE("      { id = ", A10,", name = """,B10,""", position = ", C10," ",D10,"+",E10," }")</f>
        <v xml:space="preserve">      { id = 8, name = "R8", position = 1 12+12000 }</v>
      </c>
    </row>
    <row r="28" spans="1:1">
      <c r="A28" t="str">
        <f>CONCATENATE("      { id = ", A11,", name = """,B11,""", position = ", C11," ",D11,"+",E11," }")</f>
        <v xml:space="preserve">      { id = 9, name = "R9", position = 1 13+13500 }</v>
      </c>
    </row>
    <row r="29" spans="1:1">
      <c r="A29" t="str">
        <f>CONCATENATE("      { id = ", A12,", name = """,B12,""", position = ", C12," ",D12,"+",E12," }")</f>
        <v xml:space="preserve">      { id = 10, name = "R10", position = 1 15+15000 }</v>
      </c>
    </row>
    <row r="30" spans="1:1">
      <c r="A30" t="str">
        <f>CONCATENATE("      { id = ", A13,", name = """,B13,""", position = ", C13," ",D13,"+",E13," }")</f>
        <v xml:space="preserve">      { id = 11, name = "R11", position = 1 16+16500 }</v>
      </c>
    </row>
    <row r="31" spans="1:1">
      <c r="A31" t="str">
        <f>CONCATENATE("      { id = ", A14,", name = """,B14,""", position = ", C14," ",D14,"+",E14," }")</f>
        <v xml:space="preserve">      { id = 12, name = "R12", position = 1 18+18000 }</v>
      </c>
    </row>
    <row r="32" spans="1:1">
      <c r="A32" t="str">
        <f>CONCATENATE("      { id = ", A15,", name = """,B15,""", position = ", C15," ",D15,"+",E15," }")</f>
        <v xml:space="preserve">      { id = 13, name = "R13", position = 1 19+19500 }</v>
      </c>
    </row>
    <row r="33" spans="1:1">
      <c r="A33" t="str">
        <f>CONCATENATE("      { id = ", A16,", name = """,B16,""", position = ", C16," ",D16,"+",E16," }")</f>
        <v xml:space="preserve">      { id = 14, name = "R14", position = 1 21+21000 }</v>
      </c>
    </row>
    <row r="36" spans="1:1">
      <c r="A36" s="1" t="s">
        <v>15</v>
      </c>
    </row>
    <row r="37" spans="1:1">
      <c r="A37" t="str">
        <f>CONCATENATE("      { id = """, F3, """, from = ", G3, ", to = ",H3, ", lengthM = ", I3, ", rPerKm = ", J3, " }")</f>
        <v xml:space="preserve">      { id = "L_R_0_1", from = 1, to = 2, lengthM = 1500, rPerKm = 0.03 }</v>
      </c>
    </row>
    <row r="38" spans="1:1">
      <c r="A38" t="str">
        <f>CONCATENATE("      { id = """, F4, """, from = ", G4, ", to = ",H4, ", lengthM = ", I4, ", rPerKm = ", J4, " }")</f>
        <v xml:space="preserve">      { id = "L_R_1_2", from = 2, to = 3, lengthM = 1500, rPerKm = 0.03 }</v>
      </c>
    </row>
    <row r="39" spans="1:1">
      <c r="A39" t="str">
        <f>CONCATENATE("      { id = """, F5, """, from = ", G5, ", to = ",H5, ", lengthM = ", I5, ", rPerKm = ", J5, " }")</f>
        <v xml:space="preserve">      { id = "L_R_2_3", from = 3, to = 4, lengthM = 1500, rPerKm = 0.03 }</v>
      </c>
    </row>
    <row r="40" spans="1:1">
      <c r="A40" t="str">
        <f>CONCATENATE("      { id = """, F6, """, from = ", G6, ", to = ",H6, ", lengthM = ", I6, ", rPerKm = ", J6, " }")</f>
        <v xml:space="preserve">      { id = "L_R_3_4", from = 4, to = 5, lengthM = 1500, rPerKm = 0.03 }</v>
      </c>
    </row>
    <row r="41" spans="1:1">
      <c r="A41" t="str">
        <f>CONCATENATE("      { id = """, F7, """, from = ", G7, ", to = ",H7, ", lengthM = ", I7, ", rPerKm = ", J7, " }")</f>
        <v xml:space="preserve">      { id = "L_R_4_5", from = 5, to = 6, lengthM = 1500, rPerKm = 0.03 }</v>
      </c>
    </row>
    <row r="42" spans="1:1">
      <c r="A42" t="str">
        <f>CONCATENATE("      { id = """, F8, """, from = ", G8, ", to = ",H8, ", lengthM = ", I8, ", rPerKm = ", J8, " }")</f>
        <v xml:space="preserve">      { id = "L_R_5_6", from = 6, to = 7, lengthM = 1500, rPerKm = 0.03 }</v>
      </c>
    </row>
    <row r="43" spans="1:1">
      <c r="A43" t="str">
        <f>CONCATENATE("      { id = """, F9, """, from = ", G9, ", to = ",H9, ", lengthM = ", I9, ", rPerKm = ", J9, " }")</f>
        <v xml:space="preserve">      { id = "L_R_6_7", from = 7, to = 8, lengthM = 1500, rPerKm = 0.03 }</v>
      </c>
    </row>
    <row r="44" spans="1:1">
      <c r="A44" t="str">
        <f>CONCATENATE("      { id = """, F10, """, from = ", G10, ", to = ",H10, ", lengthM = ", I10, ", rPerKm = ", J10, " }")</f>
        <v xml:space="preserve">      { id = "L_R_7_8", from = 8, to = 9, lengthM = 1500, rPerKm = 0.03 }</v>
      </c>
    </row>
    <row r="45" spans="1:1">
      <c r="A45" t="str">
        <f>CONCATENATE("      { id = """, F11, """, from = ", G11, ", to = ",H11, ", lengthM = ", I11, ", rPerKm = ", J11, " }")</f>
        <v xml:space="preserve">      { id = "L_R_8_9", from = 9, to = 10, lengthM = 1500, rPerKm = 0.03 }</v>
      </c>
    </row>
    <row r="46" spans="1:1">
      <c r="A46" t="str">
        <f>CONCATENATE("      { id = """, F12, """, from = ", G12, ", to = ",H12, ", lengthM = ", I12, ", rPerKm = ", J12, " }")</f>
        <v xml:space="preserve">      { id = "L_R_9_10", from = 10, to = 11, lengthM = 1500, rPerKm = 0.03 }</v>
      </c>
    </row>
    <row r="47" spans="1:1">
      <c r="A47" t="str">
        <f>CONCATENATE("      { id = """, F13, """, from = ", G13, ", to = ",H13, ", lengthM = ", I13, ", rPerKm = ", J13, " }")</f>
        <v xml:space="preserve">      { id = "L_R_10_11", from = 11, to = 12, lengthM = 1500, rPerKm = 0.03 }</v>
      </c>
    </row>
    <row r="48" spans="1:1">
      <c r="A48" t="str">
        <f>CONCATENATE("      { id = """, F14, """, from = ", G14, ", to = ",H14, ", lengthM = ", I14, ", rPerKm = ", J14, " }")</f>
        <v xml:space="preserve">      { id = "L_R_11_12", from = 12, to = 13, lengthM = 1500, rPerKm = 0.03 }</v>
      </c>
    </row>
    <row r="49" spans="1:1">
      <c r="A49" t="str">
        <f>CONCATENATE("      { id = """, F15, """, from = ", G15, ", to = ",H15, ", lengthM = ", I15, ", rPerKm = ", J15, " }")</f>
        <v xml:space="preserve">      { id = "L_R_12_13", from = 13, to = 14, lengthM = 1500, rPerKm = 0.03 }</v>
      </c>
    </row>
    <row r="52" spans="1:1">
      <c r="A52" t="s">
        <v>17</v>
      </c>
    </row>
    <row r="53" spans="1:1">
      <c r="A53" s="1" t="s">
        <v>16</v>
      </c>
    </row>
    <row r="54" spans="1:1">
      <c r="A54" t="str">
        <f>CONCATENATE("      { id = """, P3, """, nodeId = ", A3, ", emf = ",K3, ", internalResistance = ", L3, ", allowBackfeed = ", N3, " }")</f>
        <v xml:space="preserve">      { id = "SS1", nodeId = 1, emf = 900, internalResistance = 0.03, allowBackfeed = false }</v>
      </c>
    </row>
    <row r="55" spans="1:1">
      <c r="A55" t="str">
        <f>CONCATENATE("      { id = """, P4, """, nodeId = ", A4, ", emf = ",K4, ", internalResistance = ", L4, ", allowBackfeed = ", N4, " }")</f>
        <v xml:space="preserve">      { id = "SS2", nodeId = 2, emf = 900, internalResistance = 0.03, allowBackfeed = false }</v>
      </c>
    </row>
    <row r="56" spans="1:1">
      <c r="A56" t="str">
        <f>CONCATENATE("      { id = """, P5, """, nodeId = ", A5, ", emf = ",K5, ", internalResistance = ", L5, ", allowBackfeed = ", N5, " }")</f>
        <v xml:space="preserve">      { id = "SS3", nodeId = 3, emf = 900, internalResistance = 0.03, allowBackfeed = false }</v>
      </c>
    </row>
    <row r="57" spans="1:1">
      <c r="A57" t="str">
        <f>CONCATENATE("      { id = """, P6, """, nodeId = ", A6, ", emf = ",K6, ", internalResistance = ", L6, ", allowBackfeed = ", N6, " }")</f>
        <v xml:space="preserve">      { id = "SS4", nodeId = 4, emf = 900, internalResistance = 0.03, allowBackfeed = false }</v>
      </c>
    </row>
    <row r="58" spans="1:1">
      <c r="A58" t="str">
        <f>CONCATENATE("      { id = """, P7, """, nodeId = ", A7, ", emf = ",K7, ", internalResistance = ", L7, ", allowBackfeed = ", N7, " }")</f>
        <v xml:space="preserve">      { id = "SS5", nodeId = 5, emf = 900, internalResistance = 0.03, allowBackfeed = false }</v>
      </c>
    </row>
    <row r="59" spans="1:1">
      <c r="A59" t="str">
        <f>CONCATENATE("      { id = """, P8, """, nodeId = ", A8, ", emf = ",K8, ", internalResistance = ", L8, ", allowBackfeed = ", N8, " }")</f>
        <v xml:space="preserve">      { id = "SS6", nodeId = 6, emf = 900, internalResistance = 0.03, allowBackfeed = false }</v>
      </c>
    </row>
    <row r="60" spans="1:1">
      <c r="A60" t="str">
        <f>CONCATENATE("      { id = """, P9, """, nodeId = ", A9, ", emf = ",K9, ", internalResistance = ", L9, ", allowBackfeed = ", N9, " }")</f>
        <v xml:space="preserve">      { id = "SS7", nodeId = 7, emf = 900, internalResistance = 0.03, allowBackfeed = false }</v>
      </c>
    </row>
    <row r="61" spans="1:1">
      <c r="A61" t="str">
        <f>CONCATENATE("      { id = """, P10, """, nodeId = ", A10, ", emf = ",K10, ", internalResistance = ", L10, ", allowBackfeed = ", N10, " }")</f>
        <v xml:space="preserve">      { id = "SS8", nodeId = 8, emf = 900, internalResistance = 0.03, allowBackfeed = false }</v>
      </c>
    </row>
    <row r="62" spans="1:1">
      <c r="A62" t="str">
        <f>CONCATENATE("      { id = """, P11, """, nodeId = ", A11, ", emf = ",K11, ", internalResistance = ", L11, ", allowBackfeed = ", N11, " }")</f>
        <v xml:space="preserve">      { id = "SS9", nodeId = 9, emf = 900, internalResistance = 0.03, allowBackfeed = false }</v>
      </c>
    </row>
    <row r="63" spans="1:1">
      <c r="A63" t="str">
        <f>CONCATENATE("      { id = """, P12, """, nodeId = ", A12, ", emf = ",K12, ", internalResistance = ", L12, ", allowBackfeed = ", N12, " }")</f>
        <v xml:space="preserve">      { id = "SS10", nodeId = 10, emf = 900, internalResistance = 0.03, allowBackfeed = false }</v>
      </c>
    </row>
    <row r="64" spans="1:1">
      <c r="A64" t="str">
        <f>CONCATENATE("      { id = """, P13, """, nodeId = ", A13, ", emf = ",K13, ", internalResistance = ", L13, ", allowBackfeed = ", N13, " }")</f>
        <v xml:space="preserve">      { id = "SS11", nodeId = 11, emf = 900, internalResistance = 0.03, allowBackfeed = false }</v>
      </c>
    </row>
    <row r="65" spans="1:1">
      <c r="A65" t="str">
        <f>CONCATENATE("      { id = """, P14, """, nodeId = ", A14, ", emf = ",K14, ", internalResistance = ", L14, ", allowBackfeed = ", N14, " }")</f>
        <v xml:space="preserve">      { id = "SS12", nodeId = 12, emf = 900, internalResistance = 0.03, allowBackfeed = false }</v>
      </c>
    </row>
    <row r="66" spans="1:1">
      <c r="A66" t="str">
        <f>CONCATENATE("      { id = """, P15, """, nodeId = ", A15, ", emf = ",K15, ", internalResistance = ", L15, ", allowBackfeed = ", N15, " }")</f>
        <v xml:space="preserve">      { id = "SS13", nodeId = 13, emf = 900, internalResistance = 0.03, allowBackfeed = false }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964FF-2E4D-4F9D-B771-13C81797AF06}">
  <dimension ref="A1:J84"/>
  <sheetViews>
    <sheetView tabSelected="1" topLeftCell="A51" workbookViewId="0">
      <selection activeCell="A67" sqref="A67:A84"/>
    </sheetView>
  </sheetViews>
  <sheetFormatPr defaultRowHeight="15"/>
  <sheetData>
    <row r="1" spans="1:10">
      <c r="A1" t="s">
        <v>43</v>
      </c>
      <c r="B1" t="s">
        <v>2</v>
      </c>
      <c r="C1" t="s">
        <v>3</v>
      </c>
      <c r="D1" t="s">
        <v>44</v>
      </c>
      <c r="E1" t="s">
        <v>50</v>
      </c>
      <c r="F1" s="3" t="s">
        <v>46</v>
      </c>
      <c r="G1" s="4" t="s">
        <v>47</v>
      </c>
      <c r="H1" s="4" t="s">
        <v>48</v>
      </c>
      <c r="J1" t="s">
        <v>22</v>
      </c>
    </row>
    <row r="2" spans="1:10">
      <c r="A2" t="s">
        <v>23</v>
      </c>
      <c r="B2">
        <v>1</v>
      </c>
      <c r="C2">
        <f>INT(J2/1000)</f>
        <v>1</v>
      </c>
      <c r="D2">
        <f>ROUND(J2-C2*1000,0)</f>
        <v>800</v>
      </c>
      <c r="E2" t="s">
        <v>51</v>
      </c>
      <c r="F2" s="2" t="s">
        <v>23</v>
      </c>
      <c r="G2" s="2"/>
      <c r="H2" s="2">
        <v>0</v>
      </c>
      <c r="J2">
        <v>1800</v>
      </c>
    </row>
    <row r="3" spans="1:10">
      <c r="A3" t="s">
        <v>24</v>
      </c>
      <c r="B3">
        <v>1</v>
      </c>
      <c r="C3">
        <f>INT(J3/1000)</f>
        <v>2</v>
      </c>
      <c r="D3">
        <f>ROUND(J3-C3*1000,0)</f>
        <v>350</v>
      </c>
      <c r="E3" t="s">
        <v>51</v>
      </c>
      <c r="F3" t="s">
        <v>24</v>
      </c>
      <c r="G3" s="2">
        <v>6.2993434658810399E-4</v>
      </c>
      <c r="H3" s="2">
        <v>8.0354545769921492E-4</v>
      </c>
      <c r="J3">
        <v>2350</v>
      </c>
    </row>
    <row r="4" spans="1:10">
      <c r="A4" t="s">
        <v>25</v>
      </c>
      <c r="B4">
        <v>1</v>
      </c>
      <c r="C4">
        <f>INT(J4/1000)</f>
        <v>3</v>
      </c>
      <c r="D4">
        <f>ROUND(J4-C4*1000,0)</f>
        <v>135</v>
      </c>
      <c r="E4" t="s">
        <v>51</v>
      </c>
      <c r="F4" t="s">
        <v>25</v>
      </c>
      <c r="G4" s="2">
        <v>1.6675739793399567E-3</v>
      </c>
      <c r="H4" s="2">
        <v>1.8411850904510683E-3</v>
      </c>
      <c r="J4">
        <v>3135</v>
      </c>
    </row>
    <row r="5" spans="1:10">
      <c r="A5" t="s">
        <v>26</v>
      </c>
      <c r="B5">
        <v>1</v>
      </c>
      <c r="C5">
        <f>INT(J5/1000)</f>
        <v>4</v>
      </c>
      <c r="D5">
        <f>ROUND(J5-C5*1000,0)</f>
        <v>390</v>
      </c>
      <c r="E5" t="s">
        <v>51</v>
      </c>
      <c r="F5" t="s">
        <v>26</v>
      </c>
      <c r="G5" s="2">
        <v>2.9771780841292336E-3</v>
      </c>
      <c r="H5" s="2">
        <v>3.1623632693144194E-3</v>
      </c>
      <c r="J5">
        <v>4390</v>
      </c>
    </row>
    <row r="6" spans="1:10">
      <c r="A6" t="s">
        <v>27</v>
      </c>
      <c r="B6">
        <v>1</v>
      </c>
      <c r="C6">
        <f>INT(J6/1000)</f>
        <v>5</v>
      </c>
      <c r="D6">
        <f>ROUND(J6-C6*1000,0)</f>
        <v>184</v>
      </c>
      <c r="E6" t="s">
        <v>51</v>
      </c>
      <c r="F6" t="s">
        <v>27</v>
      </c>
      <c r="G6" s="2">
        <v>4.0787398961393845E-3</v>
      </c>
      <c r="H6" s="2">
        <v>4.2523510072504959E-3</v>
      </c>
      <c r="J6">
        <v>5184</v>
      </c>
    </row>
    <row r="7" spans="1:10">
      <c r="A7" t="s">
        <v>28</v>
      </c>
      <c r="B7">
        <v>1</v>
      </c>
      <c r="C7">
        <f>INT(J7/1000)</f>
        <v>6</v>
      </c>
      <c r="D7">
        <f>ROUND(J7-C7*1000,0)</f>
        <v>448</v>
      </c>
      <c r="E7" t="s">
        <v>51</v>
      </c>
      <c r="F7" t="s">
        <v>28</v>
      </c>
      <c r="G7" s="2">
        <v>5.4488387398494396E-3</v>
      </c>
      <c r="H7" s="2">
        <v>5.6803202213309223E-3</v>
      </c>
      <c r="J7">
        <v>6448</v>
      </c>
    </row>
    <row r="8" spans="1:10">
      <c r="A8" t="s">
        <v>29</v>
      </c>
      <c r="B8">
        <v>1</v>
      </c>
      <c r="C8">
        <f>INT(J8/1000)</f>
        <v>7</v>
      </c>
      <c r="D8">
        <f>ROUND(J8-C8*1000,0)</f>
        <v>432</v>
      </c>
      <c r="E8" t="s">
        <v>51</v>
      </c>
      <c r="F8" t="s">
        <v>29</v>
      </c>
      <c r="G8" s="2">
        <v>6.8094816842925506E-3</v>
      </c>
      <c r="H8" s="2">
        <v>7.0062409435518083E-3</v>
      </c>
      <c r="J8">
        <v>7432</v>
      </c>
    </row>
    <row r="9" spans="1:10">
      <c r="A9" t="s">
        <v>30</v>
      </c>
      <c r="B9">
        <v>1</v>
      </c>
      <c r="C9">
        <f>INT(J9/1000)</f>
        <v>8</v>
      </c>
      <c r="D9">
        <f>ROUND(J9-C9*1000,0)</f>
        <v>164</v>
      </c>
      <c r="E9" t="s">
        <v>51</v>
      </c>
      <c r="F9" t="s">
        <v>30</v>
      </c>
      <c r="G9" s="2">
        <v>7.8710608620004112E-3</v>
      </c>
      <c r="H9" s="2">
        <v>8.0446719731115252E-3</v>
      </c>
      <c r="J9">
        <v>8164</v>
      </c>
    </row>
    <row r="10" spans="1:10">
      <c r="A10" t="s">
        <v>31</v>
      </c>
      <c r="B10">
        <v>1</v>
      </c>
      <c r="C10">
        <f>INT(J10/1000)</f>
        <v>8</v>
      </c>
      <c r="D10">
        <f>ROUND(J10-C10*1000,0)</f>
        <v>852</v>
      </c>
      <c r="E10" t="s">
        <v>51</v>
      </c>
      <c r="F10" t="s">
        <v>31</v>
      </c>
      <c r="G10" s="2">
        <v>8.8311094165712655E-3</v>
      </c>
      <c r="H10" s="2">
        <v>9.0162946017564513E-3</v>
      </c>
      <c r="J10">
        <v>8852</v>
      </c>
    </row>
    <row r="11" spans="1:10">
      <c r="A11" t="s">
        <v>32</v>
      </c>
      <c r="B11">
        <v>1</v>
      </c>
      <c r="C11">
        <f>INT(J11/1000)</f>
        <v>9</v>
      </c>
      <c r="D11">
        <f>ROUND(J11-C11*1000,0)</f>
        <v>810</v>
      </c>
      <c r="E11" t="s">
        <v>51</v>
      </c>
      <c r="F11" t="s">
        <v>32</v>
      </c>
      <c r="G11" s="2">
        <v>1.0100474871441801E-2</v>
      </c>
      <c r="H11" s="2">
        <v>1.0366678575145503E-2</v>
      </c>
      <c r="J11">
        <v>9810</v>
      </c>
    </row>
    <row r="12" spans="1:10">
      <c r="A12" t="s">
        <v>33</v>
      </c>
      <c r="B12">
        <v>1</v>
      </c>
      <c r="C12">
        <f>INT(J12/1000)</f>
        <v>10</v>
      </c>
      <c r="D12">
        <f>ROUND(J12-C12*1000,0)</f>
        <v>346</v>
      </c>
      <c r="E12" t="s">
        <v>51</v>
      </c>
      <c r="F12" t="s">
        <v>33</v>
      </c>
      <c r="G12" s="2">
        <v>1.1180744857004855E-2</v>
      </c>
      <c r="H12" s="2">
        <v>1.1389078190338187E-2</v>
      </c>
      <c r="J12">
        <v>10346</v>
      </c>
    </row>
    <row r="13" spans="1:10">
      <c r="A13" t="s">
        <v>34</v>
      </c>
      <c r="B13">
        <v>1</v>
      </c>
      <c r="C13">
        <f>INT(J13/1000)</f>
        <v>11</v>
      </c>
      <c r="D13">
        <f>ROUND(J13-C13*1000,0)</f>
        <v>445</v>
      </c>
      <c r="E13" t="s">
        <v>51</v>
      </c>
      <c r="F13" t="s">
        <v>34</v>
      </c>
      <c r="G13" s="2">
        <v>1.2560317112450732E-2</v>
      </c>
      <c r="H13" s="2">
        <v>1.2849668964302587E-2</v>
      </c>
      <c r="J13">
        <v>11445</v>
      </c>
    </row>
    <row r="14" spans="1:10">
      <c r="A14" t="s">
        <v>35</v>
      </c>
      <c r="B14">
        <v>1</v>
      </c>
      <c r="C14">
        <f>INT(J14/1000)</f>
        <v>12</v>
      </c>
      <c r="D14">
        <f>ROUND(J14-C14*1000,0)</f>
        <v>583</v>
      </c>
      <c r="E14" t="s">
        <v>51</v>
      </c>
      <c r="F14" t="s">
        <v>35</v>
      </c>
      <c r="G14" s="2">
        <v>1.4335496873774127E-2</v>
      </c>
      <c r="H14" s="2">
        <v>1.4555404281181534E-2</v>
      </c>
      <c r="J14">
        <v>12583</v>
      </c>
    </row>
    <row r="15" spans="1:10">
      <c r="A15" t="s">
        <v>36</v>
      </c>
      <c r="B15">
        <v>1</v>
      </c>
      <c r="C15">
        <f>INT(J15/1000)</f>
        <v>13</v>
      </c>
      <c r="D15">
        <f>ROUND(J15-C15*1000,0)</f>
        <v>342</v>
      </c>
      <c r="E15" t="s">
        <v>51</v>
      </c>
      <c r="F15" t="s">
        <v>36</v>
      </c>
      <c r="G15" s="2">
        <v>1.5520439719747127E-2</v>
      </c>
      <c r="H15" s="2">
        <v>1.5717198979006381E-2</v>
      </c>
      <c r="J15">
        <v>13342</v>
      </c>
    </row>
    <row r="16" spans="1:10">
      <c r="A16" t="s">
        <v>37</v>
      </c>
      <c r="B16">
        <v>1</v>
      </c>
      <c r="C16">
        <f>INT(J16/1000)</f>
        <v>14</v>
      </c>
      <c r="D16">
        <f>ROUND(J16-C16*1000,0)</f>
        <v>278</v>
      </c>
      <c r="E16" t="s">
        <v>51</v>
      </c>
      <c r="F16" t="s">
        <v>37</v>
      </c>
      <c r="G16" s="2">
        <v>1.6701169566064371E-2</v>
      </c>
      <c r="H16" s="2">
        <v>1.6944225121619933E-2</v>
      </c>
      <c r="J16">
        <v>14278</v>
      </c>
    </row>
    <row r="17" spans="1:10">
      <c r="A17" t="s">
        <v>38</v>
      </c>
      <c r="B17">
        <v>1</v>
      </c>
      <c r="C17">
        <f>INT(J17/1000)</f>
        <v>16</v>
      </c>
      <c r="D17">
        <f>ROUND(J17-C17*1000,0)</f>
        <v>775</v>
      </c>
      <c r="E17" t="s">
        <v>51</v>
      </c>
      <c r="F17" t="s">
        <v>38</v>
      </c>
      <c r="G17" s="2">
        <v>1.8940569018474487E-2</v>
      </c>
      <c r="H17" s="2">
        <v>1.9137328277733748E-2</v>
      </c>
      <c r="J17">
        <v>16775</v>
      </c>
    </row>
    <row r="18" spans="1:10">
      <c r="A18" t="s">
        <v>39</v>
      </c>
      <c r="B18">
        <v>1</v>
      </c>
      <c r="C18">
        <f>INT(J18/1000)</f>
        <v>18</v>
      </c>
      <c r="D18">
        <f>ROUND(J18-C18*1000,0)</f>
        <v>761</v>
      </c>
      <c r="E18" t="s">
        <v>51</v>
      </c>
      <c r="F18" t="s">
        <v>39</v>
      </c>
      <c r="G18" s="2">
        <v>2.1007940153389214E-2</v>
      </c>
      <c r="H18" s="2">
        <v>2.1193125338574394E-2</v>
      </c>
      <c r="J18">
        <v>18761</v>
      </c>
    </row>
    <row r="19" spans="1:10">
      <c r="A19" t="s">
        <v>40</v>
      </c>
      <c r="B19">
        <v>1</v>
      </c>
      <c r="C19">
        <f>INT(J19/1000)</f>
        <v>20</v>
      </c>
      <c r="D19">
        <f>ROUND(J19-C19*1000,0)</f>
        <v>3</v>
      </c>
      <c r="E19" t="s">
        <v>51</v>
      </c>
      <c r="F19" t="s">
        <v>40</v>
      </c>
      <c r="G19" s="2">
        <v>2.2388297968153326E-2</v>
      </c>
      <c r="H19" s="2">
        <v>2.2608205375560742E-2</v>
      </c>
      <c r="J19">
        <v>20003</v>
      </c>
    </row>
    <row r="20" spans="1:10">
      <c r="A20" t="s">
        <v>41</v>
      </c>
      <c r="B20">
        <v>1</v>
      </c>
      <c r="C20">
        <f>INT(J20/1000)</f>
        <v>20</v>
      </c>
      <c r="D20">
        <f>ROUND(J20-C20*1000,0)</f>
        <v>979</v>
      </c>
      <c r="E20" t="s">
        <v>51</v>
      </c>
      <c r="F20" t="s">
        <v>41</v>
      </c>
      <c r="G20" s="2">
        <v>2.3611111111111114E-2</v>
      </c>
      <c r="H20" s="2"/>
      <c r="J20">
        <v>20979</v>
      </c>
    </row>
    <row r="22" spans="1:10">
      <c r="A22" s="1" t="s">
        <v>42</v>
      </c>
    </row>
    <row r="23" spans="1:10">
      <c r="A23" t="str">
        <f>CONCATENATE("    { name = """,A2,""", abbreviation = """, A2, """, position = """, B2," ", C2,"+", D2, """ }")</f>
        <v xml:space="preserve">    { name = "FRÄ", abbreviation = "FRÄ", position = "1 1+800" }</v>
      </c>
    </row>
    <row r="24" spans="1:10">
      <c r="A24" t="str">
        <f>CONCATENATE("    { name = """,A3,""", abbreviation = """, A3, """, position = """, B3," ", C3,"+", D3, """ }")</f>
        <v xml:space="preserve">    { name = "VÄT", abbreviation = "VÄT", position = "1 2+350" }</v>
      </c>
    </row>
    <row r="25" spans="1:10">
      <c r="A25" t="str">
        <f>CONCATENATE("    { name = """,A4,""", abbreviation = """, A4, """, position = """, B4," ", C4,"+", D4, """ }")</f>
        <v xml:space="preserve">    { name = "HSÅ", abbreviation = "HSÅ", position = "1 3+135" }</v>
      </c>
    </row>
    <row r="26" spans="1:10">
      <c r="A26" t="str">
        <f>CONCATENATE("    { name = """,A5,""", abbreviation = """, A5, """, position = """, B5," ", C5,"+", D5, """ }")</f>
        <v xml:space="preserve">    { name = "TFP", abbreviation = "TFP", position = "1 4+390" }</v>
      </c>
    </row>
    <row r="27" spans="1:10">
      <c r="A27" t="str">
        <f>CONCATENATE("    { name = """,A6,""", abbreviation = """, A6, """, position = """, B6," ", C6,"+", D6, """ }")</f>
        <v xml:space="preserve">    { name = "MIK", abbreviation = "MIK", position = "1 5+184" }</v>
      </c>
    </row>
    <row r="28" spans="1:10">
      <c r="A28" t="str">
        <f>CONCATENATE("    { name = """,A7,""", abbreviation = """, A7, """, position = """, B7," ", C7,"+", D7, """ }")</f>
        <v xml:space="preserve">    { name = "LIH", abbreviation = "LIH", position = "1 6+448" }</v>
      </c>
    </row>
    <row r="29" spans="1:10">
      <c r="A29" t="str">
        <f>CONCATENATE("    { name = """,A8,""", abbreviation = """, A8, """, position = """, B8," ", C8,"+", D8, """ }")</f>
        <v xml:space="preserve">    { name = "HOT", abbreviation = "HOT", position = "1 7+432" }</v>
      </c>
    </row>
    <row r="30" spans="1:10">
      <c r="A30" t="str">
        <f>CONCATENATE("    { name = """,A9,""", abbreviation = """, A9, """, position = """, B9," ", C9,"+", D9, """ }")</f>
        <v xml:space="preserve">    { name = "ZID", abbreviation = "ZID", position = "1 8+164" }</v>
      </c>
    </row>
    <row r="31" spans="1:10">
      <c r="A31" t="str">
        <f>CONCATENATE("    { name = """,A10,""", abbreviation = """, A10, """, position = """, B10," ", C10,"+", D10, """ }")</f>
        <v xml:space="preserve">    { name = "MRT", abbreviation = "MRT", position = "1 8+852" }</v>
      </c>
    </row>
    <row r="32" spans="1:10">
      <c r="A32" t="str">
        <f>CONCATENATE("    { name = """,A11,""", abbreviation = """, A11, """, position = """, B11," ", C11,"+", D11, """ }")</f>
        <v xml:space="preserve">    { name = "SLU", abbreviation = "SLU", position = "1 9+810" }</v>
      </c>
    </row>
    <row r="33" spans="1:1">
      <c r="A33" t="str">
        <f>CONCATENATE("    { name = """,A12,""", abbreviation = """, A12, """, position = """, B12," ", C12,"+", D12, """ }")</f>
        <v xml:space="preserve">    { name = "GAS", abbreviation = "GAS", position = "1 10+346" }</v>
      </c>
    </row>
    <row r="34" spans="1:1">
      <c r="A34" t="str">
        <f>CONCATENATE("    { name = """,A13,""", abbreviation = """, A13, """, position = """, B13," ", C13,"+", D13, """ }")</f>
        <v xml:space="preserve">    { name = "TCE", abbreviation = "TCE", position = "1 11+445" }</v>
      </c>
    </row>
    <row r="35" spans="1:1">
      <c r="A35" t="str">
        <f>CONCATENATE("    { name = """,A14,""", abbreviation = """, A14, """, position = """, B14," ", C14,"+", D14, """ }")</f>
        <v xml:space="preserve">    { name = "ÖMT", abbreviation = "ÖMT", position = "1 12+583" }</v>
      </c>
    </row>
    <row r="36" spans="1:1">
      <c r="A36" t="str">
        <f>CONCATENATE("    { name = """,A15,""", abbreviation = """, A15, """, position = """, B15," ", C15,"+", D15, """ }")</f>
        <v xml:space="preserve">    { name = "STD", abbreviation = "STD", position = "1 13+342" }</v>
      </c>
    </row>
    <row r="37" spans="1:1">
      <c r="A37" t="str">
        <f>CONCATENATE("    { name = """,A16,""", abbreviation = """, A16, """, position = """, B16," ", C16,"+", D16, """ }")</f>
        <v xml:space="preserve">    { name = "TEH", abbreviation = "TEH", position = "1 14+278" }</v>
      </c>
    </row>
    <row r="38" spans="1:1">
      <c r="A38" t="str">
        <f>CONCATENATE("    { name = """,A17,""", abbreviation = """, A17, """, position = """, B17," ", C17,"+", D17, """ }")</f>
        <v xml:space="preserve">    { name = "UNT", abbreviation = "UNT", position = "1 16+775" }</v>
      </c>
    </row>
    <row r="39" spans="1:1">
      <c r="A39" t="str">
        <f>CONCATENATE("    { name = """,A18,""", abbreviation = """, A18, """, position = """, B18," ", C18,"+", D18, """ }")</f>
        <v xml:space="preserve">    { name = "BEH", abbreviation = "BEH", position = "1 18+761" }</v>
      </c>
    </row>
    <row r="40" spans="1:1">
      <c r="A40" t="str">
        <f>CONCATENATE("    { name = """,A19,""", abbreviation = """, A19, """, position = """, B19," ", C19,"+", D19, """ }")</f>
        <v xml:space="preserve">    { name = "DAS", abbreviation = "DAS", position = "1 20+3" }</v>
      </c>
    </row>
    <row r="41" spans="1:1">
      <c r="A41" t="str">
        <f>CONCATENATE("    { name = """,A20,""", abbreviation = """, A20, """, position = """, B20," ", C20,"+", D20, """ }")</f>
        <v xml:space="preserve">    { name = "MÖR", abbreviation = "MÖR", position = "1 20+979" }</v>
      </c>
    </row>
    <row r="44" spans="1:1">
      <c r="A44" s="1" t="s">
        <v>45</v>
      </c>
    </row>
    <row r="45" spans="1:1">
      <c r="A45" t="str">
        <f>CONCATENATE("    { signature = """, A2, """,   departure = """, H2,""", }")</f>
        <v xml:space="preserve">    { signature = "FRÄ",   departure = "0", }</v>
      </c>
    </row>
    <row r="46" spans="1:1">
      <c r="A46" t="str">
        <f>CONCATENATE("    { signature = """, A3, """, arrival = """, G3, """,   departure = """, H3,""", }")</f>
        <v xml:space="preserve">    { signature = "VÄT", arrival = "0.000629934346588104",   departure = "0.000803545457699215", }</v>
      </c>
    </row>
    <row r="47" spans="1:1">
      <c r="A47" t="str">
        <f>CONCATENATE("    { signature = """, A4, """, arrival = """, G4, """,   departure = """, H4,""", }")</f>
        <v xml:space="preserve">    { signature = "HSÅ", arrival = "0.00166757397933996",   departure = "0.00184118509045107", }</v>
      </c>
    </row>
    <row r="48" spans="1:1">
      <c r="A48" t="str">
        <f>CONCATENATE("    { signature = """, A5, """, arrival = """, G5, """,   departure = """, H5,""", }")</f>
        <v xml:space="preserve">    { signature = "TFP", arrival = "0.00297717808412923",   departure = "0.00316236326931442", }</v>
      </c>
    </row>
    <row r="49" spans="1:1">
      <c r="A49" t="str">
        <f>CONCATENATE("    { signature = """, A6, """, arrival = """, G6, """,   departure = """, H6,""", }")</f>
        <v xml:space="preserve">    { signature = "MIK", arrival = "0.00407873989613938",   departure = "0.0042523510072505", }</v>
      </c>
    </row>
    <row r="50" spans="1:1">
      <c r="A50" t="str">
        <f>CONCATENATE("    { signature = """, A7, """, arrival = """, G7, """,   departure = """, H7,""", }")</f>
        <v xml:space="preserve">    { signature = "LIH", arrival = "0.00544883873984944",   departure = "0.00568032022133092", }</v>
      </c>
    </row>
    <row r="51" spans="1:1">
      <c r="A51" t="str">
        <f>CONCATENATE("    { signature = """, A8, """, arrival = """, G8, """,   departure = """, H8,""", }")</f>
        <v xml:space="preserve">    { signature = "HOT", arrival = "0.00680948168429255",   departure = "0.00700624094355181", }</v>
      </c>
    </row>
    <row r="52" spans="1:1">
      <c r="A52" t="str">
        <f>CONCATENATE("    { signature = """, A9, """, arrival = """, G9, """,   departure = """, H9,""", }")</f>
        <v xml:space="preserve">    { signature = "ZID", arrival = "0.00787106086200041",   departure = "0.00804467197311153", }</v>
      </c>
    </row>
    <row r="53" spans="1:1">
      <c r="A53" t="str">
        <f>CONCATENATE("    { signature = """, A10, """, arrival = """, G10, """,   departure = """, H10,""", }")</f>
        <v xml:space="preserve">    { signature = "MRT", arrival = "0.00883110941657127",   departure = "0.00901629460175645", }</v>
      </c>
    </row>
    <row r="54" spans="1:1">
      <c r="A54" t="str">
        <f>CONCATENATE("    { signature = """, A11, """, arrival = """, G11, """,   departure = """, H11,""", }")</f>
        <v xml:space="preserve">    { signature = "SLU", arrival = "0.0101004748714418",   departure = "0.0103666785751455", }</v>
      </c>
    </row>
    <row r="55" spans="1:1">
      <c r="A55" t="str">
        <f>CONCATENATE("    { signature = """, A12, """, arrival = """, G12, """,   departure = """, H12,""", }")</f>
        <v xml:space="preserve">    { signature = "GAS", arrival = "0.0111807448570049",   departure = "0.0113890781903382", }</v>
      </c>
    </row>
    <row r="56" spans="1:1">
      <c r="A56" t="str">
        <f>CONCATENATE("    { signature = """, A13, """, arrival = """, G13, """,   departure = """, H13,""", }")</f>
        <v xml:space="preserve">    { signature = "TCE", arrival = "0.0125603171124507",   departure = "0.0128496689643026", }</v>
      </c>
    </row>
    <row r="57" spans="1:1">
      <c r="A57" t="str">
        <f>CONCATENATE("    { signature = """, A14, """, arrival = """, G14, """,   departure = """, H14,""", }")</f>
        <v xml:space="preserve">    { signature = "ÖMT", arrival = "0.0143354968737741",   departure = "0.0145554042811815", }</v>
      </c>
    </row>
    <row r="58" spans="1:1">
      <c r="A58" t="str">
        <f>CONCATENATE("    { signature = """, A15, """, arrival = """, G15, """,   departure = """, H15,""", }")</f>
        <v xml:space="preserve">    { signature = "STD", arrival = "0.0155204397197471",   departure = "0.0157171989790064", }</v>
      </c>
    </row>
    <row r="59" spans="1:1">
      <c r="A59" t="str">
        <f>CONCATENATE("    { signature = """, A16, """, arrival = """, G16, """,   departure = """, H16,""", }")</f>
        <v xml:space="preserve">    { signature = "TEH", arrival = "0.0167011695660644",   departure = "0.0169442251216199", }</v>
      </c>
    </row>
    <row r="60" spans="1:1">
      <c r="A60" t="str">
        <f>CONCATENATE("    { signature = """, A17, """, arrival = """, G17, """,   departure = """, H17,""", }")</f>
        <v xml:space="preserve">    { signature = "UNT", arrival = "0.0189405690184745",   departure = "0.0191373282777337", }</v>
      </c>
    </row>
    <row r="61" spans="1:1">
      <c r="A61" t="str">
        <f>CONCATENATE("    { signature = """, A18, """, arrival = """, G18, """,   departure = """, H18,""", }")</f>
        <v xml:space="preserve">    { signature = "BEH", arrival = "0.0210079401533892",   departure = "0.0211931253385744", }</v>
      </c>
    </row>
    <row r="62" spans="1:1">
      <c r="A62" t="str">
        <f>CONCATENATE("    { signature = """, A19, """, arrival = """, G19, """,   departure = """, H19,""", }")</f>
        <v xml:space="preserve">    { signature = "DAS", arrival = "0.0223882979681533",   departure = "0.0226082053755607", }</v>
      </c>
    </row>
    <row r="63" spans="1:1">
      <c r="A63" t="str">
        <f>CONCATENATE("    { signature = """, A20, """, arrival = """, G20, """, }")</f>
        <v xml:space="preserve">    { signature = "MÖR", arrival = "0.0236111111111111", }</v>
      </c>
    </row>
    <row r="66" spans="1:1">
      <c r="A66" s="1" t="s">
        <v>49</v>
      </c>
    </row>
    <row r="67" spans="1:1">
      <c r="A67" t="str">
        <f>CONCATENATE("          { "," fromStation = """,A2,""", toStation = """,A3,""", file = ""t/r/",E2,"-",A3,".xlsx"" }")</f>
        <v xml:space="preserve">          {  fromStation = "FRÄ", toStation = "VÄT", file = "t/r/1n_timetable_-VÄT.xlsx" }</v>
      </c>
    </row>
    <row r="68" spans="1:1">
      <c r="A68" t="str">
        <f t="shared" ref="A68:A84" si="0">CONCATENATE("          { "," fromStation = """,A3,""", toStation = """,A4,""", file = ""t/r/",E3,"-",A4,".xlsx"" }")</f>
        <v xml:space="preserve">          {  fromStation = "VÄT", toStation = "HSÅ", file = "t/r/1n_timetable_-HSÅ.xlsx" }</v>
      </c>
    </row>
    <row r="69" spans="1:1">
      <c r="A69" t="str">
        <f t="shared" si="0"/>
        <v xml:space="preserve">          {  fromStation = "HSÅ", toStation = "TFP", file = "t/r/1n_timetable_-TFP.xlsx" }</v>
      </c>
    </row>
    <row r="70" spans="1:1">
      <c r="A70" t="str">
        <f t="shared" si="0"/>
        <v xml:space="preserve">          {  fromStation = "TFP", toStation = "MIK", file = "t/r/1n_timetable_-MIK.xlsx" }</v>
      </c>
    </row>
    <row r="71" spans="1:1">
      <c r="A71" t="str">
        <f t="shared" si="0"/>
        <v xml:space="preserve">          {  fromStation = "MIK", toStation = "LIH", file = "t/r/1n_timetable_-LIH.xlsx" }</v>
      </c>
    </row>
    <row r="72" spans="1:1">
      <c r="A72" t="str">
        <f t="shared" si="0"/>
        <v xml:space="preserve">          {  fromStation = "LIH", toStation = "HOT", file = "t/r/1n_timetable_-HOT.xlsx" }</v>
      </c>
    </row>
    <row r="73" spans="1:1">
      <c r="A73" t="str">
        <f t="shared" si="0"/>
        <v xml:space="preserve">          {  fromStation = "HOT", toStation = "ZID", file = "t/r/1n_timetable_-ZID.xlsx" }</v>
      </c>
    </row>
    <row r="74" spans="1:1">
      <c r="A74" t="str">
        <f t="shared" si="0"/>
        <v xml:space="preserve">          {  fromStation = "ZID", toStation = "MRT", file = "t/r/1n_timetable_-MRT.xlsx" }</v>
      </c>
    </row>
    <row r="75" spans="1:1">
      <c r="A75" t="str">
        <f t="shared" si="0"/>
        <v xml:space="preserve">          {  fromStation = "MRT", toStation = "SLU", file = "t/r/1n_timetable_-SLU.xlsx" }</v>
      </c>
    </row>
    <row r="76" spans="1:1">
      <c r="A76" t="str">
        <f t="shared" si="0"/>
        <v xml:space="preserve">          {  fromStation = "SLU", toStation = "GAS", file = "t/r/1n_timetable_-GAS.xlsx" }</v>
      </c>
    </row>
    <row r="77" spans="1:1">
      <c r="A77" t="str">
        <f t="shared" si="0"/>
        <v xml:space="preserve">          {  fromStation = "GAS", toStation = "TCE", file = "t/r/1n_timetable_-TCE.xlsx" }</v>
      </c>
    </row>
    <row r="78" spans="1:1">
      <c r="A78" t="str">
        <f t="shared" si="0"/>
        <v xml:space="preserve">          {  fromStation = "TCE", toStation = "ÖMT", file = "t/r/1n_timetable_-ÖMT.xlsx" }</v>
      </c>
    </row>
    <row r="79" spans="1:1">
      <c r="A79" t="str">
        <f t="shared" si="0"/>
        <v xml:space="preserve">          {  fromStation = "ÖMT", toStation = "STD", file = "t/r/1n_timetable_-STD.xlsx" }</v>
      </c>
    </row>
    <row r="80" spans="1:1">
      <c r="A80" t="str">
        <f t="shared" si="0"/>
        <v xml:space="preserve">          {  fromStation = "STD", toStation = "TEH", file = "t/r/1n_timetable_-TEH.xlsx" }</v>
      </c>
    </row>
    <row r="81" spans="1:1">
      <c r="A81" t="str">
        <f t="shared" si="0"/>
        <v xml:space="preserve">          {  fromStation = "TEH", toStation = "UNT", file = "t/r/1n_timetable_-UNT.xlsx" }</v>
      </c>
    </row>
    <row r="82" spans="1:1">
      <c r="A82" t="str">
        <f t="shared" si="0"/>
        <v xml:space="preserve">          {  fromStation = "UNT", toStation = "BEH", file = "t/r/1n_timetable_-BEH.xlsx" }</v>
      </c>
    </row>
    <row r="83" spans="1:1">
      <c r="A83" t="str">
        <f t="shared" si="0"/>
        <v xml:space="preserve">          {  fromStation = "BEH", toStation = "DAS", file = "t/r/1n_timetable_-DAS.xlsx" }</v>
      </c>
    </row>
    <row r="84" spans="1:1">
      <c r="A84" t="str">
        <f t="shared" si="0"/>
        <v xml:space="preserve">          {  fromStation = "DAS", toStation = "MÖR", file = "t/r/1n_timetable_-MÖR.xlsx" }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gridR</vt:lpstr>
      <vt:lpstr>stationR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Lagos</dc:creator>
  <cp:lastModifiedBy>Mario Lagos</cp:lastModifiedBy>
  <dcterms:created xsi:type="dcterms:W3CDTF">2025-09-21T01:04:00Z</dcterms:created>
  <dcterms:modified xsi:type="dcterms:W3CDTF">2025-09-21T07:37:41Z</dcterms:modified>
</cp:coreProperties>
</file>