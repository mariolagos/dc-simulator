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ols\dc-simulator\project\validationTests\3S1T\T1\"/>
    </mc:Choice>
  </mc:AlternateContent>
  <xr:revisionPtr revIDLastSave="0" documentId="13_ncr:1_{8610B333-3E68-4C9E-B736-08A6FEF7956E}" xr6:coauthVersionLast="47" xr6:coauthVersionMax="47" xr10:uidLastSave="{00000000-0000-0000-0000-000000000000}"/>
  <bookViews>
    <workbookView xWindow="28680" yWindow="-120" windowWidth="29040" windowHeight="17640" activeTab="2" xr2:uid="{ABD8D7A9-F49A-425C-BE6F-CA7411EF6D88}"/>
  </bookViews>
  <sheets>
    <sheet name="runFormel" sheetId="1" r:id="rId1"/>
    <sheet name="run" sheetId="3" r:id="rId2"/>
    <sheet name="track" sheetId="2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2" i="1"/>
  <c r="C3" i="2"/>
  <c r="C2" i="2"/>
  <c r="E3" i="1"/>
  <c r="F67" i="1"/>
  <c r="G67" i="1"/>
  <c r="F68" i="1"/>
  <c r="G68" i="1"/>
  <c r="F69" i="1"/>
  <c r="G69" i="1"/>
  <c r="F70" i="1"/>
  <c r="G70" i="1"/>
  <c r="F71" i="1"/>
  <c r="G71" i="1"/>
  <c r="G66" i="1"/>
  <c r="F66" i="1"/>
  <c r="G65" i="1"/>
  <c r="F65" i="1"/>
  <c r="G64" i="1"/>
  <c r="F64" i="1"/>
  <c r="G63" i="1"/>
  <c r="F63" i="1"/>
  <c r="G62" i="1"/>
  <c r="F62" i="1"/>
  <c r="G61" i="1"/>
  <c r="F61" i="1"/>
  <c r="G60" i="1"/>
  <c r="F60" i="1"/>
  <c r="G59" i="1"/>
  <c r="F59" i="1"/>
  <c r="G58" i="1"/>
  <c r="F58" i="1"/>
  <c r="G57" i="1"/>
  <c r="F57" i="1"/>
  <c r="G56" i="1"/>
  <c r="F56" i="1"/>
  <c r="G55" i="1"/>
  <c r="F55" i="1"/>
  <c r="G54" i="1"/>
  <c r="F54" i="1"/>
  <c r="G53" i="1"/>
  <c r="F53" i="1"/>
  <c r="G52" i="1"/>
  <c r="F52" i="1"/>
  <c r="G51" i="1"/>
  <c r="F51" i="1"/>
  <c r="G50" i="1"/>
  <c r="F50" i="1"/>
  <c r="F101" i="1"/>
  <c r="F102" i="1"/>
  <c r="F103" i="1"/>
  <c r="F104" i="1"/>
  <c r="F105" i="1"/>
  <c r="F106" i="1"/>
  <c r="F99" i="1"/>
  <c r="F100" i="1"/>
  <c r="F92" i="1"/>
  <c r="F93" i="1"/>
  <c r="F94" i="1"/>
  <c r="F95" i="1"/>
  <c r="F96" i="1"/>
  <c r="F97" i="1"/>
  <c r="F98" i="1"/>
  <c r="F29" i="1"/>
  <c r="G29" i="1"/>
  <c r="F30" i="1"/>
  <c r="G30" i="1"/>
  <c r="F31" i="1"/>
  <c r="G31" i="1"/>
  <c r="F32" i="1"/>
  <c r="G32" i="1"/>
  <c r="F33" i="1"/>
  <c r="G33" i="1"/>
  <c r="F34" i="1"/>
  <c r="G34" i="1"/>
  <c r="F35" i="1"/>
  <c r="G35" i="1"/>
  <c r="F36" i="1"/>
  <c r="G36" i="1"/>
  <c r="F37" i="1"/>
  <c r="G37" i="1"/>
  <c r="F38" i="1"/>
  <c r="G38" i="1"/>
  <c r="F39" i="1"/>
  <c r="G39" i="1"/>
  <c r="F40" i="1"/>
  <c r="G40" i="1"/>
  <c r="F41" i="1"/>
  <c r="G41" i="1"/>
  <c r="F42" i="1"/>
  <c r="G42" i="1"/>
  <c r="F43" i="1"/>
  <c r="G43" i="1"/>
  <c r="F44" i="1"/>
  <c r="G44" i="1"/>
  <c r="F45" i="1"/>
  <c r="G45" i="1"/>
  <c r="G80" i="1"/>
  <c r="F80" i="1"/>
  <c r="G79" i="1"/>
  <c r="F79" i="1"/>
  <c r="G78" i="1"/>
  <c r="F78" i="1"/>
  <c r="G77" i="1"/>
  <c r="F77" i="1"/>
  <c r="G76" i="1"/>
  <c r="F76" i="1"/>
  <c r="G75" i="1"/>
  <c r="F75" i="1"/>
  <c r="G74" i="1"/>
  <c r="F74" i="1"/>
  <c r="G73" i="1"/>
  <c r="F73" i="1"/>
  <c r="G72" i="1"/>
  <c r="F72" i="1"/>
  <c r="G49" i="1"/>
  <c r="F49" i="1"/>
  <c r="G48" i="1"/>
  <c r="F48" i="1"/>
  <c r="G47" i="1"/>
  <c r="F47" i="1"/>
  <c r="G46" i="1"/>
  <c r="F46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F27" i="1"/>
  <c r="G27" i="1"/>
  <c r="F28" i="1"/>
  <c r="G28" i="1"/>
  <c r="F81" i="1"/>
  <c r="F82" i="1"/>
  <c r="F83" i="1"/>
  <c r="F84" i="1"/>
  <c r="F85" i="1"/>
  <c r="F86" i="1"/>
  <c r="F87" i="1"/>
  <c r="F88" i="1"/>
  <c r="F89" i="1"/>
  <c r="F90" i="1"/>
  <c r="F91" i="1"/>
  <c r="F2" i="1"/>
  <c r="G2" i="1"/>
  <c r="C3" i="1"/>
  <c r="C4" i="1" s="1"/>
  <c r="F4" i="1" s="1"/>
  <c r="F3" i="1" l="1"/>
  <c r="E4" i="1"/>
  <c r="E5" i="1" s="1"/>
  <c r="C5" i="1"/>
  <c r="F5" i="1" s="1"/>
  <c r="E6" i="1" l="1"/>
  <c r="E7" i="1" s="1"/>
  <c r="C6" i="1"/>
  <c r="F6" i="1" s="1"/>
  <c r="C7" i="1" l="1"/>
  <c r="F7" i="1" s="1"/>
  <c r="E8" i="1" l="1"/>
  <c r="C8" i="1"/>
  <c r="F8" i="1" s="1"/>
  <c r="E9" i="1" l="1"/>
  <c r="C9" i="1"/>
  <c r="F9" i="1" s="1"/>
  <c r="E10" i="1" l="1"/>
  <c r="E11" i="1" s="1"/>
  <c r="C10" i="1"/>
  <c r="F10" i="1" s="1"/>
  <c r="C11" i="1" l="1"/>
  <c r="F11" i="1" s="1"/>
  <c r="E12" i="1" l="1"/>
  <c r="C12" i="1"/>
  <c r="F12" i="1" s="1"/>
  <c r="E13" i="1" l="1"/>
  <c r="C13" i="1"/>
  <c r="F13" i="1" s="1"/>
  <c r="E14" i="1" l="1"/>
  <c r="E15" i="1" s="1"/>
  <c r="C14" i="1"/>
  <c r="F14" i="1" s="1"/>
  <c r="C15" i="1" l="1"/>
  <c r="F15" i="1" s="1"/>
  <c r="E16" i="1" l="1"/>
  <c r="E17" i="1" s="1"/>
  <c r="C16" i="1"/>
  <c r="F16" i="1" s="1"/>
  <c r="C17" i="1" l="1"/>
  <c r="F17" i="1" s="1"/>
  <c r="E18" i="1" l="1"/>
  <c r="E19" i="1" s="1"/>
  <c r="C18" i="1"/>
  <c r="F18" i="1" s="1"/>
  <c r="C19" i="1" l="1"/>
  <c r="F19" i="1" s="1"/>
  <c r="E20" i="1" l="1"/>
  <c r="C20" i="1"/>
  <c r="F20" i="1" s="1"/>
  <c r="E21" i="1" l="1"/>
  <c r="E22" i="1" s="1"/>
  <c r="C21" i="1"/>
  <c r="F21" i="1" s="1"/>
  <c r="C22" i="1" l="1"/>
  <c r="F22" i="1" s="1"/>
  <c r="E23" i="1" l="1"/>
  <c r="C23" i="1"/>
  <c r="F23" i="1" s="1"/>
  <c r="E24" i="1" l="1"/>
  <c r="E25" i="1" s="1"/>
  <c r="C24" i="1"/>
  <c r="F24" i="1" s="1"/>
  <c r="C25" i="1" l="1"/>
  <c r="F25" i="1" s="1"/>
  <c r="E26" i="1" l="1"/>
  <c r="E27" i="1" s="1"/>
  <c r="C26" i="1"/>
  <c r="F26" i="1" s="1"/>
  <c r="C27" i="1" l="1"/>
  <c r="E28" i="1" s="1"/>
  <c r="C28" i="1" l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E29" i="1" l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C50" i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G81" i="1" s="1"/>
  <c r="E73" i="1" l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C82" i="1"/>
  <c r="G82" i="1" s="1"/>
  <c r="C83" i="1" l="1"/>
  <c r="G83" i="1" s="1"/>
  <c r="E84" i="1" l="1"/>
  <c r="E85" i="1" s="1"/>
  <c r="C84" i="1"/>
  <c r="G84" i="1" s="1"/>
  <c r="C85" i="1" l="1"/>
  <c r="G85" i="1" s="1"/>
  <c r="E86" i="1" l="1"/>
  <c r="C86" i="1"/>
  <c r="G86" i="1" s="1"/>
  <c r="E87" i="1" l="1"/>
  <c r="C87" i="1"/>
  <c r="G87" i="1" s="1"/>
  <c r="E88" i="1" l="1"/>
  <c r="C88" i="1"/>
  <c r="G88" i="1" s="1"/>
  <c r="E89" i="1" l="1"/>
  <c r="E90" i="1" s="1"/>
  <c r="C89" i="1"/>
  <c r="G89" i="1" s="1"/>
  <c r="C90" i="1" l="1"/>
  <c r="G90" i="1" s="1"/>
  <c r="E91" i="1" l="1"/>
  <c r="E92" i="1" s="1"/>
  <c r="C91" i="1"/>
  <c r="G91" i="1" s="1"/>
  <c r="C92" i="1" l="1"/>
  <c r="G92" i="1" s="1"/>
  <c r="E93" i="1" l="1"/>
  <c r="E94" i="1" s="1"/>
  <c r="C93" i="1"/>
  <c r="G93" i="1" s="1"/>
  <c r="C94" i="1" l="1"/>
  <c r="G94" i="1" s="1"/>
  <c r="E95" i="1" l="1"/>
  <c r="E96" i="1" s="1"/>
  <c r="C95" i="1"/>
  <c r="G95" i="1" s="1"/>
  <c r="C96" i="1" l="1"/>
  <c r="G96" i="1" s="1"/>
  <c r="E97" i="1" l="1"/>
  <c r="E98" i="1" s="1"/>
  <c r="C97" i="1"/>
  <c r="G97" i="1" s="1"/>
  <c r="E99" i="1" l="1"/>
  <c r="C98" i="1"/>
  <c r="G98" i="1" s="1"/>
  <c r="C99" i="1" l="1"/>
  <c r="G99" i="1" s="1"/>
  <c r="E100" i="1" l="1"/>
  <c r="E101" i="1" s="1"/>
  <c r="C100" i="1"/>
  <c r="G100" i="1" s="1"/>
  <c r="E102" i="1" l="1"/>
  <c r="C101" i="1"/>
  <c r="G101" i="1" s="1"/>
  <c r="C102" i="1" l="1"/>
  <c r="G102" i="1" s="1"/>
  <c r="E103" i="1" l="1"/>
  <c r="E104" i="1" s="1"/>
  <c r="C103" i="1"/>
  <c r="G103" i="1" s="1"/>
  <c r="C104" i="1" l="1"/>
  <c r="G104" i="1" s="1"/>
  <c r="E105" i="1" l="1"/>
  <c r="C105" i="1"/>
  <c r="G105" i="1" s="1"/>
  <c r="E106" i="1" l="1"/>
  <c r="C106" i="1"/>
  <c r="G106" i="1" s="1"/>
</calcChain>
</file>

<file path=xl/sharedStrings.xml><?xml version="1.0" encoding="utf-8"?>
<sst xmlns="http://schemas.openxmlformats.org/spreadsheetml/2006/main" count="40" uniqueCount="28">
  <si>
    <t>time [s]</t>
  </si>
  <si>
    <t>bisPosition [km,m]</t>
  </si>
  <si>
    <t>speed [m/s]</t>
  </si>
  <si>
    <t>primaryMotoringPower [kW]</t>
  </si>
  <si>
    <t>primaryMotorBrakingPower [kW]</t>
  </si>
  <si>
    <t>acc</t>
  </si>
  <si>
    <t>position [m]</t>
  </si>
  <si>
    <t>bisPos</t>
  </si>
  <si>
    <t>maxTrackSpeed [m/s]</t>
  </si>
  <si>
    <t>maxTrackSpeed [km/h]</t>
  </si>
  <si>
    <t>gradient [‰]</t>
  </si>
  <si>
    <t>curveRadius [rad]</t>
  </si>
  <si>
    <t>tunnelFactor</t>
  </si>
  <si>
    <t>altitude [m]</t>
  </si>
  <si>
    <t>fromStationAbbr</t>
  </si>
  <si>
    <t>toStationAbbr</t>
  </si>
  <si>
    <t>trackNumber</t>
  </si>
  <si>
    <t>trackInformation</t>
  </si>
  <si>
    <t>trackSection</t>
  </si>
  <si>
    <t>bisKm</t>
  </si>
  <si>
    <t>bisMeter</t>
  </si>
  <si>
    <t>dataType</t>
  </si>
  <si>
    <t>dasSuppressed</t>
  </si>
  <si>
    <t>powerAvailable</t>
  </si>
  <si>
    <t>geoX</t>
  </si>
  <si>
    <t>geoY</t>
  </si>
  <si>
    <t>P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</si>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</sst>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runFormel!$E$1</c:f>
              <c:strCache>
                <c:ptCount val="1"/>
                <c:pt idx="0">
                  <c:v>bisPosition [km,m]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runFormel!$B$2:$B$106</c:f>
              <c:numCache>
                <c:formatCode>General</c:formatCode>
                <c:ptCount val="10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</c:numCache>
            </c:numRef>
          </c:xVal>
          <c:yVal>
            <c:numRef>
              <c:f>runFormel!$E$2:$E$106</c:f>
              <c:numCache>
                <c:formatCode>General</c:formatCode>
                <c:ptCount val="105"/>
                <c:pt idx="0">
                  <c:v>0.1</c:v>
                </c:pt>
                <c:pt idx="1">
                  <c:v>0.10050000000000001</c:v>
                </c:pt>
                <c:pt idx="2">
                  <c:v>0.10200000000000001</c:v>
                </c:pt>
                <c:pt idx="3">
                  <c:v>0.10450000000000001</c:v>
                </c:pt>
                <c:pt idx="4">
                  <c:v>0.10800000000000001</c:v>
                </c:pt>
                <c:pt idx="5">
                  <c:v>0.11250000000000002</c:v>
                </c:pt>
                <c:pt idx="6">
                  <c:v>0.11800000000000002</c:v>
                </c:pt>
                <c:pt idx="7">
                  <c:v>0.12450000000000003</c:v>
                </c:pt>
                <c:pt idx="8">
                  <c:v>0.13200000000000003</c:v>
                </c:pt>
                <c:pt idx="9">
                  <c:v>0.14050000000000004</c:v>
                </c:pt>
                <c:pt idx="10">
                  <c:v>0.15000000000000005</c:v>
                </c:pt>
                <c:pt idx="11">
                  <c:v>0.16050000000000006</c:v>
                </c:pt>
                <c:pt idx="12">
                  <c:v>0.17200000000000007</c:v>
                </c:pt>
                <c:pt idx="13">
                  <c:v>0.18450000000000008</c:v>
                </c:pt>
                <c:pt idx="14">
                  <c:v>0.19800000000000009</c:v>
                </c:pt>
                <c:pt idx="15">
                  <c:v>0.21250000000000011</c:v>
                </c:pt>
                <c:pt idx="16">
                  <c:v>0.22800000000000009</c:v>
                </c:pt>
                <c:pt idx="17">
                  <c:v>0.24450000000000011</c:v>
                </c:pt>
                <c:pt idx="18">
                  <c:v>0.26200000000000012</c:v>
                </c:pt>
                <c:pt idx="19">
                  <c:v>0.28050000000000014</c:v>
                </c:pt>
                <c:pt idx="20">
                  <c:v>0.30000000000000016</c:v>
                </c:pt>
                <c:pt idx="21">
                  <c:v>0.32050000000000017</c:v>
                </c:pt>
                <c:pt idx="22">
                  <c:v>0.34200000000000019</c:v>
                </c:pt>
                <c:pt idx="23">
                  <c:v>0.36450000000000021</c:v>
                </c:pt>
                <c:pt idx="24">
                  <c:v>0.38800000000000023</c:v>
                </c:pt>
                <c:pt idx="25">
                  <c:v>0.41250000000000026</c:v>
                </c:pt>
                <c:pt idx="26">
                  <c:v>0.43750000000000028</c:v>
                </c:pt>
                <c:pt idx="27">
                  <c:v>0.4625000000000003</c:v>
                </c:pt>
                <c:pt idx="28">
                  <c:v>0.48750000000000032</c:v>
                </c:pt>
                <c:pt idx="29">
                  <c:v>0.51250000000000029</c:v>
                </c:pt>
                <c:pt idx="30">
                  <c:v>0.53750000000000031</c:v>
                </c:pt>
                <c:pt idx="31">
                  <c:v>0.56250000000000033</c:v>
                </c:pt>
                <c:pt idx="32">
                  <c:v>0.58750000000000036</c:v>
                </c:pt>
                <c:pt idx="33">
                  <c:v>0.61250000000000038</c:v>
                </c:pt>
                <c:pt idx="34">
                  <c:v>0.6375000000000004</c:v>
                </c:pt>
                <c:pt idx="35">
                  <c:v>0.66250000000000042</c:v>
                </c:pt>
                <c:pt idx="36">
                  <c:v>0.68750000000000044</c:v>
                </c:pt>
                <c:pt idx="37">
                  <c:v>0.71250000000000047</c:v>
                </c:pt>
                <c:pt idx="38">
                  <c:v>0.73750000000000049</c:v>
                </c:pt>
                <c:pt idx="39">
                  <c:v>0.76250000000000051</c:v>
                </c:pt>
                <c:pt idx="40">
                  <c:v>0.78750000000000053</c:v>
                </c:pt>
                <c:pt idx="41">
                  <c:v>0.81250000000000056</c:v>
                </c:pt>
                <c:pt idx="42">
                  <c:v>0.83750000000000058</c:v>
                </c:pt>
                <c:pt idx="43">
                  <c:v>0.8625000000000006</c:v>
                </c:pt>
                <c:pt idx="44">
                  <c:v>0.88750000000000062</c:v>
                </c:pt>
                <c:pt idx="45">
                  <c:v>0.91250000000000064</c:v>
                </c:pt>
                <c:pt idx="46">
                  <c:v>0.93750000000000067</c:v>
                </c:pt>
                <c:pt idx="47">
                  <c:v>0.96250000000000069</c:v>
                </c:pt>
                <c:pt idx="48">
                  <c:v>0.98750000000000071</c:v>
                </c:pt>
                <c:pt idx="49">
                  <c:v>1.0125000000000006</c:v>
                </c:pt>
                <c:pt idx="50">
                  <c:v>1.0375000000000005</c:v>
                </c:pt>
                <c:pt idx="51">
                  <c:v>1.0625000000000004</c:v>
                </c:pt>
                <c:pt idx="52">
                  <c:v>1.0875000000000004</c:v>
                </c:pt>
                <c:pt idx="53">
                  <c:v>1.1125000000000003</c:v>
                </c:pt>
                <c:pt idx="54">
                  <c:v>1.1375000000000002</c:v>
                </c:pt>
                <c:pt idx="55">
                  <c:v>1.1625000000000001</c:v>
                </c:pt>
                <c:pt idx="56">
                  <c:v>1.1875</c:v>
                </c:pt>
                <c:pt idx="57">
                  <c:v>1.2124999999999999</c:v>
                </c:pt>
                <c:pt idx="58">
                  <c:v>1.2374999999999998</c:v>
                </c:pt>
                <c:pt idx="59">
                  <c:v>1.2624999999999997</c:v>
                </c:pt>
                <c:pt idx="60">
                  <c:v>1.2874999999999996</c:v>
                </c:pt>
                <c:pt idx="61">
                  <c:v>1.3124999999999996</c:v>
                </c:pt>
                <c:pt idx="62">
                  <c:v>1.3374999999999995</c:v>
                </c:pt>
                <c:pt idx="63">
                  <c:v>1.3624999999999994</c:v>
                </c:pt>
                <c:pt idx="64">
                  <c:v>1.3874999999999993</c:v>
                </c:pt>
                <c:pt idx="65">
                  <c:v>1.4124999999999992</c:v>
                </c:pt>
                <c:pt idx="66">
                  <c:v>1.4374999999999991</c:v>
                </c:pt>
                <c:pt idx="67">
                  <c:v>1.462499999999999</c:v>
                </c:pt>
                <c:pt idx="68">
                  <c:v>1.4874999999999989</c:v>
                </c:pt>
                <c:pt idx="69">
                  <c:v>1.5124999999999988</c:v>
                </c:pt>
                <c:pt idx="70">
                  <c:v>1.5374999999999988</c:v>
                </c:pt>
                <c:pt idx="71">
                  <c:v>1.5624999999999987</c:v>
                </c:pt>
                <c:pt idx="72">
                  <c:v>1.5874999999999986</c:v>
                </c:pt>
                <c:pt idx="73">
                  <c:v>1.6124999999999985</c:v>
                </c:pt>
                <c:pt idx="74">
                  <c:v>1.6374999999999984</c:v>
                </c:pt>
                <c:pt idx="75">
                  <c:v>1.6624999999999983</c:v>
                </c:pt>
                <c:pt idx="76">
                  <c:v>1.6874999999999982</c:v>
                </c:pt>
                <c:pt idx="77">
                  <c:v>1.7124999999999981</c:v>
                </c:pt>
                <c:pt idx="78">
                  <c:v>1.737499999999998</c:v>
                </c:pt>
                <c:pt idx="79">
                  <c:v>1.762499999999998</c:v>
                </c:pt>
                <c:pt idx="80">
                  <c:v>1.7869999999999979</c:v>
                </c:pt>
                <c:pt idx="81">
                  <c:v>1.810499999999998</c:v>
                </c:pt>
                <c:pt idx="82">
                  <c:v>1.832999999999998</c:v>
                </c:pt>
                <c:pt idx="83">
                  <c:v>1.854499999999998</c:v>
                </c:pt>
                <c:pt idx="84">
                  <c:v>1.874999999999998</c:v>
                </c:pt>
                <c:pt idx="85">
                  <c:v>1.8944999999999981</c:v>
                </c:pt>
                <c:pt idx="86">
                  <c:v>1.912999999999998</c:v>
                </c:pt>
                <c:pt idx="87">
                  <c:v>1.9304999999999981</c:v>
                </c:pt>
                <c:pt idx="88">
                  <c:v>1.9469999999999981</c:v>
                </c:pt>
                <c:pt idx="89">
                  <c:v>1.9624999999999981</c:v>
                </c:pt>
                <c:pt idx="90">
                  <c:v>1.9769999999999981</c:v>
                </c:pt>
                <c:pt idx="91">
                  <c:v>1.9904999999999982</c:v>
                </c:pt>
                <c:pt idx="92">
                  <c:v>2.0029999999999983</c:v>
                </c:pt>
                <c:pt idx="93">
                  <c:v>2.0144999999999982</c:v>
                </c:pt>
                <c:pt idx="94">
                  <c:v>2.0249999999999981</c:v>
                </c:pt>
                <c:pt idx="95">
                  <c:v>2.0344999999999982</c:v>
                </c:pt>
                <c:pt idx="96">
                  <c:v>2.0429999999999984</c:v>
                </c:pt>
                <c:pt idx="97">
                  <c:v>2.0504999999999982</c:v>
                </c:pt>
                <c:pt idx="98">
                  <c:v>2.0569999999999982</c:v>
                </c:pt>
                <c:pt idx="99">
                  <c:v>2.0624999999999982</c:v>
                </c:pt>
                <c:pt idx="100">
                  <c:v>2.0669999999999984</c:v>
                </c:pt>
                <c:pt idx="101">
                  <c:v>2.0704999999999982</c:v>
                </c:pt>
                <c:pt idx="102">
                  <c:v>2.0729999999999982</c:v>
                </c:pt>
                <c:pt idx="103">
                  <c:v>2.0744999999999982</c:v>
                </c:pt>
                <c:pt idx="104">
                  <c:v>2.0749999999999984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9D-4F67-B65A-2EFC93C095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7099072"/>
        <c:axId val="1348649136"/>
      </c:scatterChart>
      <c:valAx>
        <c:axId val="1407099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48649136"/>
        <c:crosses val="autoZero"/>
        <c:crossBetween val="midCat"/>
      </c:valAx>
      <c:valAx>
        <c:axId val="1348649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07099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runFormel!$F$1</c:f>
              <c:strCache>
                <c:ptCount val="1"/>
                <c:pt idx="0">
                  <c:v>primaryMotoringPower [kW]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runFormel!$B$2:$B$106</c:f>
              <c:numCache>
                <c:formatCode>General</c:formatCode>
                <c:ptCount val="10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</c:numCache>
            </c:numRef>
          </c:xVal>
          <c:yVal>
            <c:numRef>
              <c:f>runFormel!$F$2:$F$106</c:f>
              <c:numCache>
                <c:formatCode>General</c:formatCode>
                <c:ptCount val="105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E5-4245-90E5-87EB90EAFC90}"/>
            </c:ext>
          </c:extLst>
        </c:ser>
        <c:ser>
          <c:idx val="1"/>
          <c:order val="1"/>
          <c:tx>
            <c:strRef>
              <c:f>runFormel!$G$1</c:f>
              <c:strCache>
                <c:ptCount val="1"/>
                <c:pt idx="0">
                  <c:v>primaryMotorBrakingPower [kW]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runFormel!$B$2:$B$106</c:f>
              <c:numCache>
                <c:formatCode>General</c:formatCode>
                <c:ptCount val="10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</c:numCache>
            </c:numRef>
          </c:xVal>
          <c:yVal>
            <c:numRef>
              <c:f>runFormel!$G$2:$G$106</c:f>
              <c:numCache>
                <c:formatCode>General</c:formatCode>
                <c:ptCount val="10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-2500</c:v>
                </c:pt>
                <c:pt idx="80">
                  <c:v>-2400</c:v>
                </c:pt>
                <c:pt idx="81">
                  <c:v>-2300</c:v>
                </c:pt>
                <c:pt idx="82">
                  <c:v>-2200</c:v>
                </c:pt>
                <c:pt idx="83">
                  <c:v>-2100</c:v>
                </c:pt>
                <c:pt idx="84">
                  <c:v>-2000</c:v>
                </c:pt>
                <c:pt idx="85">
                  <c:v>-1900</c:v>
                </c:pt>
                <c:pt idx="86">
                  <c:v>-1800</c:v>
                </c:pt>
                <c:pt idx="87">
                  <c:v>-1700</c:v>
                </c:pt>
                <c:pt idx="88">
                  <c:v>-1600</c:v>
                </c:pt>
                <c:pt idx="89">
                  <c:v>-1500</c:v>
                </c:pt>
                <c:pt idx="90">
                  <c:v>-1400</c:v>
                </c:pt>
                <c:pt idx="91">
                  <c:v>-1300</c:v>
                </c:pt>
                <c:pt idx="92">
                  <c:v>-1200</c:v>
                </c:pt>
                <c:pt idx="93">
                  <c:v>-1100</c:v>
                </c:pt>
                <c:pt idx="94">
                  <c:v>-1000</c:v>
                </c:pt>
                <c:pt idx="95">
                  <c:v>-900</c:v>
                </c:pt>
                <c:pt idx="96">
                  <c:v>-800</c:v>
                </c:pt>
                <c:pt idx="97">
                  <c:v>-700</c:v>
                </c:pt>
                <c:pt idx="98">
                  <c:v>-600</c:v>
                </c:pt>
                <c:pt idx="99">
                  <c:v>-500</c:v>
                </c:pt>
                <c:pt idx="100">
                  <c:v>-400</c:v>
                </c:pt>
                <c:pt idx="101">
                  <c:v>-300</c:v>
                </c:pt>
                <c:pt idx="102">
                  <c:v>-200</c:v>
                </c:pt>
                <c:pt idx="103">
                  <c:v>-100</c:v>
                </c:pt>
                <c:pt idx="10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CE5-4245-90E5-87EB90EAFC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5347951"/>
        <c:axId val="445354671"/>
      </c:scatterChart>
      <c:valAx>
        <c:axId val="445347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45354671"/>
        <c:crosses val="autoZero"/>
        <c:crossBetween val="midCat"/>
      </c:valAx>
      <c:valAx>
        <c:axId val="445354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453479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runFormel!$C$1</c:f>
              <c:strCache>
                <c:ptCount val="1"/>
                <c:pt idx="0">
                  <c:v>speed [m/s]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runFormel!$B$2:$B$106</c:f>
              <c:numCache>
                <c:formatCode>General</c:formatCode>
                <c:ptCount val="10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</c:numCache>
            </c:numRef>
          </c:xVal>
          <c:yVal>
            <c:numRef>
              <c:f>runFormel!$C$2:$C$106</c:f>
              <c:numCache>
                <c:formatCode>General</c:formatCode>
                <c:ptCount val="10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  <c:pt idx="30">
                  <c:v>25</c:v>
                </c:pt>
                <c:pt idx="31">
                  <c:v>25</c:v>
                </c:pt>
                <c:pt idx="32">
                  <c:v>25</c:v>
                </c:pt>
                <c:pt idx="33">
                  <c:v>25</c:v>
                </c:pt>
                <c:pt idx="34">
                  <c:v>25</c:v>
                </c:pt>
                <c:pt idx="35">
                  <c:v>25</c:v>
                </c:pt>
                <c:pt idx="36">
                  <c:v>25</c:v>
                </c:pt>
                <c:pt idx="37">
                  <c:v>25</c:v>
                </c:pt>
                <c:pt idx="38">
                  <c:v>25</c:v>
                </c:pt>
                <c:pt idx="39">
                  <c:v>25</c:v>
                </c:pt>
                <c:pt idx="40">
                  <c:v>25</c:v>
                </c:pt>
                <c:pt idx="41">
                  <c:v>25</c:v>
                </c:pt>
                <c:pt idx="42">
                  <c:v>25</c:v>
                </c:pt>
                <c:pt idx="43">
                  <c:v>25</c:v>
                </c:pt>
                <c:pt idx="44">
                  <c:v>25</c:v>
                </c:pt>
                <c:pt idx="45">
                  <c:v>25</c:v>
                </c:pt>
                <c:pt idx="46">
                  <c:v>25</c:v>
                </c:pt>
                <c:pt idx="47">
                  <c:v>25</c:v>
                </c:pt>
                <c:pt idx="48">
                  <c:v>25</c:v>
                </c:pt>
                <c:pt idx="49">
                  <c:v>25</c:v>
                </c:pt>
                <c:pt idx="50">
                  <c:v>25</c:v>
                </c:pt>
                <c:pt idx="51">
                  <c:v>25</c:v>
                </c:pt>
                <c:pt idx="52">
                  <c:v>25</c:v>
                </c:pt>
                <c:pt idx="53">
                  <c:v>25</c:v>
                </c:pt>
                <c:pt idx="54">
                  <c:v>25</c:v>
                </c:pt>
                <c:pt idx="55">
                  <c:v>25</c:v>
                </c:pt>
                <c:pt idx="56">
                  <c:v>25</c:v>
                </c:pt>
                <c:pt idx="57">
                  <c:v>25</c:v>
                </c:pt>
                <c:pt idx="58">
                  <c:v>25</c:v>
                </c:pt>
                <c:pt idx="59">
                  <c:v>25</c:v>
                </c:pt>
                <c:pt idx="60">
                  <c:v>25</c:v>
                </c:pt>
                <c:pt idx="61">
                  <c:v>25</c:v>
                </c:pt>
                <c:pt idx="62">
                  <c:v>25</c:v>
                </c:pt>
                <c:pt idx="63">
                  <c:v>25</c:v>
                </c:pt>
                <c:pt idx="64">
                  <c:v>25</c:v>
                </c:pt>
                <c:pt idx="65">
                  <c:v>25</c:v>
                </c:pt>
                <c:pt idx="66">
                  <c:v>25</c:v>
                </c:pt>
                <c:pt idx="67">
                  <c:v>25</c:v>
                </c:pt>
                <c:pt idx="68">
                  <c:v>25</c:v>
                </c:pt>
                <c:pt idx="69">
                  <c:v>25</c:v>
                </c:pt>
                <c:pt idx="70">
                  <c:v>25</c:v>
                </c:pt>
                <c:pt idx="71">
                  <c:v>25</c:v>
                </c:pt>
                <c:pt idx="72">
                  <c:v>25</c:v>
                </c:pt>
                <c:pt idx="73">
                  <c:v>25</c:v>
                </c:pt>
                <c:pt idx="74">
                  <c:v>25</c:v>
                </c:pt>
                <c:pt idx="75">
                  <c:v>25</c:v>
                </c:pt>
                <c:pt idx="76">
                  <c:v>25</c:v>
                </c:pt>
                <c:pt idx="77">
                  <c:v>25</c:v>
                </c:pt>
                <c:pt idx="78">
                  <c:v>25</c:v>
                </c:pt>
                <c:pt idx="79">
                  <c:v>25</c:v>
                </c:pt>
                <c:pt idx="80">
                  <c:v>24</c:v>
                </c:pt>
                <c:pt idx="81">
                  <c:v>23</c:v>
                </c:pt>
                <c:pt idx="82">
                  <c:v>22</c:v>
                </c:pt>
                <c:pt idx="83">
                  <c:v>21</c:v>
                </c:pt>
                <c:pt idx="84">
                  <c:v>20</c:v>
                </c:pt>
                <c:pt idx="85">
                  <c:v>19</c:v>
                </c:pt>
                <c:pt idx="86">
                  <c:v>18</c:v>
                </c:pt>
                <c:pt idx="87">
                  <c:v>17</c:v>
                </c:pt>
                <c:pt idx="88">
                  <c:v>16</c:v>
                </c:pt>
                <c:pt idx="89">
                  <c:v>15</c:v>
                </c:pt>
                <c:pt idx="90">
                  <c:v>14</c:v>
                </c:pt>
                <c:pt idx="91">
                  <c:v>13</c:v>
                </c:pt>
                <c:pt idx="92">
                  <c:v>12</c:v>
                </c:pt>
                <c:pt idx="93">
                  <c:v>11</c:v>
                </c:pt>
                <c:pt idx="94">
                  <c:v>10</c:v>
                </c:pt>
                <c:pt idx="95">
                  <c:v>9</c:v>
                </c:pt>
                <c:pt idx="96">
                  <c:v>8</c:v>
                </c:pt>
                <c:pt idx="97">
                  <c:v>7</c:v>
                </c:pt>
                <c:pt idx="98">
                  <c:v>6</c:v>
                </c:pt>
                <c:pt idx="99">
                  <c:v>5</c:v>
                </c:pt>
                <c:pt idx="100">
                  <c:v>4</c:v>
                </c:pt>
                <c:pt idx="101">
                  <c:v>3</c:v>
                </c:pt>
                <c:pt idx="102">
                  <c:v>2</c:v>
                </c:pt>
                <c:pt idx="103">
                  <c:v>1</c:v>
                </c:pt>
                <c:pt idx="10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6E-49AD-9663-0C11717BF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9082416"/>
        <c:axId val="1429082896"/>
      </c:scatterChart>
      <c:valAx>
        <c:axId val="1429082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29082896"/>
        <c:crosses val="autoZero"/>
        <c:crossBetween val="midCat"/>
      </c:valAx>
      <c:valAx>
        <c:axId val="142908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29082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133350</xdr:colOff>
      <xdr:row>22</xdr:row>
      <xdr:rowOff>85725</xdr:rowOff>
    </xdr:from>
    <xdr:to>
      <xdr:col>11</xdr:col>
      <xdr:colOff>438150</xdr:colOff>
      <xdr:row>36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A4C056-DBF9-6442-B129-6E6B255691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600075</xdr:colOff>
      <xdr:row>7</xdr:row>
      <xdr:rowOff>0</xdr:rowOff>
    </xdr:from>
    <xdr:to>
      <xdr:col>19</xdr:col>
      <xdr:colOff>295275</xdr:colOff>
      <xdr:row>21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30DAFE-0C1F-6A59-8D11-E86C350AAC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200025</xdr:colOff>
      <xdr:row>7</xdr:row>
      <xdr:rowOff>9525</xdr:rowOff>
    </xdr:from>
    <xdr:to>
      <xdr:col>11</xdr:col>
      <xdr:colOff>504825</xdr:colOff>
      <xdr:row>21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08784E6-550D-DD45-0497-F697BBBB22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5F2CC-9C60-4798-9786-EA69E6C5E2FD}">
  <dimension ref="A1:O106"/>
  <sheetViews>
    <sheetView topLeftCell="A63" workbookViewId="0">
      <selection activeCell="C98" sqref="C98"/>
    </sheetView>
  </sheetViews>
  <sheetFormatPr defaultRowHeight="15" x14ac:dyDescent="0.25"/>
  <sheetData>
    <row r="1" spans="1:13" x14ac:dyDescent="0.25">
      <c r="A1" t="s">
        <v>5</v>
      </c>
      <c r="B1" t="s">
        <v>0</v>
      </c>
      <c r="C1" t="s">
        <v>2</v>
      </c>
      <c r="D1" t="s">
        <v>6</v>
      </c>
      <c r="E1" t="s">
        <v>1</v>
      </c>
      <c r="F1" t="s">
        <v>3</v>
      </c>
      <c r="G1" t="s">
        <v>4</v>
      </c>
    </row>
    <row r="2" spans="1:13" x14ac:dyDescent="0.25">
      <c r="A2">
        <v>1</v>
      </c>
      <c r="B2">
        <v>0</v>
      </c>
      <c r="C2">
        <v>0</v>
      </c>
      <c r="D2">
        <f>1000*E2</f>
        <v>100</v>
      </c>
      <c r="E2">
        <v>0.1</v>
      </c>
      <c r="F2">
        <f>IF(A2&gt;0,A2*C2*100,0)</f>
        <v>0</v>
      </c>
      <c r="G2">
        <f>IF(A2&lt;0,A2*C2*100,0)</f>
        <v>0</v>
      </c>
      <c r="M2">
        <v>3100</v>
      </c>
    </row>
    <row r="3" spans="1:13" x14ac:dyDescent="0.25">
      <c r="A3">
        <v>1</v>
      </c>
      <c r="B3">
        <v>1</v>
      </c>
      <c r="C3">
        <f t="shared" ref="C3:C28" si="0">C2+A2</f>
        <v>1</v>
      </c>
      <c r="D3">
        <f t="shared" ref="D3:D66" si="1">1000*E3</f>
        <v>100.5</v>
      </c>
      <c r="E3">
        <f>(E2+(C2+0.5*A2)/1000)</f>
        <v>0.10050000000000001</v>
      </c>
      <c r="F3">
        <f t="shared" ref="F3:F86" si="2">IF(A3&gt;0,A3*C3*100,0)</f>
        <v>100</v>
      </c>
      <c r="G3">
        <f t="shared" ref="G3:G28" si="3">IF(A3&lt;0,A3*C3*100,0)</f>
        <v>0</v>
      </c>
    </row>
    <row r="4" spans="1:13" x14ac:dyDescent="0.25">
      <c r="A4">
        <v>1</v>
      </c>
      <c r="B4">
        <v>2</v>
      </c>
      <c r="C4">
        <f t="shared" si="0"/>
        <v>2</v>
      </c>
      <c r="D4">
        <f t="shared" si="1"/>
        <v>102.00000000000001</v>
      </c>
      <c r="E4">
        <f t="shared" ref="E4:E67" si="4">(E3+(C3+0.5*A3)/1000)</f>
        <v>0.10200000000000001</v>
      </c>
      <c r="F4">
        <f t="shared" si="2"/>
        <v>200</v>
      </c>
      <c r="G4">
        <f t="shared" si="3"/>
        <v>0</v>
      </c>
    </row>
    <row r="5" spans="1:13" x14ac:dyDescent="0.25">
      <c r="A5">
        <v>1</v>
      </c>
      <c r="B5">
        <v>3</v>
      </c>
      <c r="C5">
        <f t="shared" si="0"/>
        <v>3</v>
      </c>
      <c r="D5">
        <f t="shared" si="1"/>
        <v>104.50000000000001</v>
      </c>
      <c r="E5">
        <f t="shared" si="4"/>
        <v>0.10450000000000001</v>
      </c>
      <c r="F5">
        <f t="shared" si="2"/>
        <v>300</v>
      </c>
      <c r="G5">
        <f t="shared" si="3"/>
        <v>0</v>
      </c>
    </row>
    <row r="6" spans="1:13" x14ac:dyDescent="0.25">
      <c r="A6">
        <v>1</v>
      </c>
      <c r="B6">
        <v>4</v>
      </c>
      <c r="C6">
        <f t="shared" si="0"/>
        <v>4</v>
      </c>
      <c r="D6">
        <f t="shared" si="1"/>
        <v>108.00000000000001</v>
      </c>
      <c r="E6">
        <f t="shared" si="4"/>
        <v>0.10800000000000001</v>
      </c>
      <c r="F6">
        <f t="shared" si="2"/>
        <v>400</v>
      </c>
      <c r="G6">
        <f t="shared" si="3"/>
        <v>0</v>
      </c>
    </row>
    <row r="7" spans="1:13" x14ac:dyDescent="0.25">
      <c r="A7">
        <v>1</v>
      </c>
      <c r="B7">
        <v>5</v>
      </c>
      <c r="C7">
        <f t="shared" si="0"/>
        <v>5</v>
      </c>
      <c r="D7">
        <f t="shared" si="1"/>
        <v>112.50000000000001</v>
      </c>
      <c r="E7">
        <f t="shared" si="4"/>
        <v>0.11250000000000002</v>
      </c>
      <c r="F7">
        <f t="shared" si="2"/>
        <v>500</v>
      </c>
      <c r="G7">
        <f t="shared" si="3"/>
        <v>0</v>
      </c>
    </row>
    <row r="8" spans="1:13" x14ac:dyDescent="0.25">
      <c r="A8">
        <v>1</v>
      </c>
      <c r="B8">
        <v>6</v>
      </c>
      <c r="C8">
        <f t="shared" si="0"/>
        <v>6</v>
      </c>
      <c r="D8">
        <f t="shared" si="1"/>
        <v>118.00000000000003</v>
      </c>
      <c r="E8">
        <f t="shared" si="4"/>
        <v>0.11800000000000002</v>
      </c>
      <c r="F8">
        <f t="shared" si="2"/>
        <v>600</v>
      </c>
      <c r="G8">
        <f t="shared" si="3"/>
        <v>0</v>
      </c>
    </row>
    <row r="9" spans="1:13" x14ac:dyDescent="0.25">
      <c r="A9">
        <v>1</v>
      </c>
      <c r="B9">
        <v>7</v>
      </c>
      <c r="C9">
        <f t="shared" si="0"/>
        <v>7</v>
      </c>
      <c r="D9">
        <f t="shared" si="1"/>
        <v>124.50000000000003</v>
      </c>
      <c r="E9">
        <f t="shared" si="4"/>
        <v>0.12450000000000003</v>
      </c>
      <c r="F9">
        <f t="shared" si="2"/>
        <v>700</v>
      </c>
      <c r="G9">
        <f t="shared" si="3"/>
        <v>0</v>
      </c>
    </row>
    <row r="10" spans="1:13" x14ac:dyDescent="0.25">
      <c r="A10">
        <v>1</v>
      </c>
      <c r="B10">
        <v>8</v>
      </c>
      <c r="C10">
        <f t="shared" si="0"/>
        <v>8</v>
      </c>
      <c r="D10">
        <f t="shared" si="1"/>
        <v>132.00000000000003</v>
      </c>
      <c r="E10">
        <f t="shared" si="4"/>
        <v>0.13200000000000003</v>
      </c>
      <c r="F10">
        <f t="shared" si="2"/>
        <v>800</v>
      </c>
      <c r="G10">
        <f t="shared" si="3"/>
        <v>0</v>
      </c>
    </row>
    <row r="11" spans="1:13" x14ac:dyDescent="0.25">
      <c r="A11">
        <v>1</v>
      </c>
      <c r="B11">
        <v>9</v>
      </c>
      <c r="C11">
        <f t="shared" si="0"/>
        <v>9</v>
      </c>
      <c r="D11">
        <f t="shared" si="1"/>
        <v>140.50000000000003</v>
      </c>
      <c r="E11">
        <f t="shared" si="4"/>
        <v>0.14050000000000004</v>
      </c>
      <c r="F11">
        <f t="shared" si="2"/>
        <v>900</v>
      </c>
      <c r="G11">
        <f t="shared" si="3"/>
        <v>0</v>
      </c>
    </row>
    <row r="12" spans="1:13" x14ac:dyDescent="0.25">
      <c r="A12">
        <v>1</v>
      </c>
      <c r="B12">
        <v>10</v>
      </c>
      <c r="C12">
        <f t="shared" si="0"/>
        <v>10</v>
      </c>
      <c r="D12">
        <f t="shared" si="1"/>
        <v>150.00000000000006</v>
      </c>
      <c r="E12">
        <f t="shared" si="4"/>
        <v>0.15000000000000005</v>
      </c>
      <c r="F12">
        <f t="shared" si="2"/>
        <v>1000</v>
      </c>
      <c r="G12">
        <f t="shared" si="3"/>
        <v>0</v>
      </c>
    </row>
    <row r="13" spans="1:13" x14ac:dyDescent="0.25">
      <c r="A13">
        <v>1</v>
      </c>
      <c r="B13">
        <v>11</v>
      </c>
      <c r="C13">
        <f t="shared" si="0"/>
        <v>11</v>
      </c>
      <c r="D13">
        <f t="shared" si="1"/>
        <v>160.50000000000006</v>
      </c>
      <c r="E13">
        <f t="shared" si="4"/>
        <v>0.16050000000000006</v>
      </c>
      <c r="F13">
        <f t="shared" si="2"/>
        <v>1100</v>
      </c>
      <c r="G13">
        <f t="shared" si="3"/>
        <v>0</v>
      </c>
    </row>
    <row r="14" spans="1:13" x14ac:dyDescent="0.25">
      <c r="A14">
        <v>1</v>
      </c>
      <c r="B14">
        <v>12</v>
      </c>
      <c r="C14">
        <f t="shared" si="0"/>
        <v>12</v>
      </c>
      <c r="D14">
        <f t="shared" si="1"/>
        <v>172.00000000000006</v>
      </c>
      <c r="E14">
        <f t="shared" si="4"/>
        <v>0.17200000000000007</v>
      </c>
      <c r="F14">
        <f t="shared" si="2"/>
        <v>1200</v>
      </c>
      <c r="G14">
        <f t="shared" si="3"/>
        <v>0</v>
      </c>
    </row>
    <row r="15" spans="1:13" x14ac:dyDescent="0.25">
      <c r="A15">
        <v>1</v>
      </c>
      <c r="B15">
        <v>13</v>
      </c>
      <c r="C15">
        <f t="shared" si="0"/>
        <v>13</v>
      </c>
      <c r="D15">
        <f t="shared" si="1"/>
        <v>184.50000000000009</v>
      </c>
      <c r="E15">
        <f t="shared" si="4"/>
        <v>0.18450000000000008</v>
      </c>
      <c r="F15">
        <f t="shared" si="2"/>
        <v>1300</v>
      </c>
      <c r="G15">
        <f t="shared" si="3"/>
        <v>0</v>
      </c>
    </row>
    <row r="16" spans="1:13" x14ac:dyDescent="0.25">
      <c r="A16">
        <v>1</v>
      </c>
      <c r="B16">
        <v>14</v>
      </c>
      <c r="C16">
        <f t="shared" si="0"/>
        <v>14</v>
      </c>
      <c r="D16">
        <f t="shared" si="1"/>
        <v>198.00000000000009</v>
      </c>
      <c r="E16">
        <f t="shared" si="4"/>
        <v>0.19800000000000009</v>
      </c>
      <c r="F16">
        <f t="shared" si="2"/>
        <v>1400</v>
      </c>
      <c r="G16">
        <f t="shared" si="3"/>
        <v>0</v>
      </c>
    </row>
    <row r="17" spans="1:15" x14ac:dyDescent="0.25">
      <c r="A17">
        <v>1</v>
      </c>
      <c r="B17">
        <v>15</v>
      </c>
      <c r="C17">
        <f t="shared" si="0"/>
        <v>15</v>
      </c>
      <c r="D17">
        <f t="shared" si="1"/>
        <v>212.50000000000011</v>
      </c>
      <c r="E17">
        <f t="shared" si="4"/>
        <v>0.21250000000000011</v>
      </c>
      <c r="F17">
        <f t="shared" si="2"/>
        <v>1500</v>
      </c>
      <c r="G17">
        <f t="shared" si="3"/>
        <v>0</v>
      </c>
    </row>
    <row r="18" spans="1:15" x14ac:dyDescent="0.25">
      <c r="A18">
        <v>1</v>
      </c>
      <c r="B18">
        <v>16</v>
      </c>
      <c r="C18">
        <f t="shared" si="0"/>
        <v>16</v>
      </c>
      <c r="D18">
        <f t="shared" si="1"/>
        <v>228.00000000000009</v>
      </c>
      <c r="E18">
        <f t="shared" si="4"/>
        <v>0.22800000000000009</v>
      </c>
      <c r="F18">
        <f t="shared" si="2"/>
        <v>1600</v>
      </c>
      <c r="G18">
        <f t="shared" si="3"/>
        <v>0</v>
      </c>
    </row>
    <row r="19" spans="1:15" x14ac:dyDescent="0.25">
      <c r="A19">
        <v>1</v>
      </c>
      <c r="B19">
        <v>17</v>
      </c>
      <c r="C19">
        <f t="shared" si="0"/>
        <v>17</v>
      </c>
      <c r="D19">
        <f t="shared" si="1"/>
        <v>244.50000000000011</v>
      </c>
      <c r="E19">
        <f t="shared" si="4"/>
        <v>0.24450000000000011</v>
      </c>
      <c r="F19">
        <f t="shared" si="2"/>
        <v>1700</v>
      </c>
      <c r="G19">
        <f t="shared" si="3"/>
        <v>0</v>
      </c>
    </row>
    <row r="20" spans="1:15" x14ac:dyDescent="0.25">
      <c r="A20">
        <v>1</v>
      </c>
      <c r="B20">
        <v>18</v>
      </c>
      <c r="C20">
        <f t="shared" si="0"/>
        <v>18</v>
      </c>
      <c r="D20">
        <f t="shared" si="1"/>
        <v>262.00000000000011</v>
      </c>
      <c r="E20">
        <f t="shared" si="4"/>
        <v>0.26200000000000012</v>
      </c>
      <c r="F20">
        <f t="shared" si="2"/>
        <v>1800</v>
      </c>
      <c r="G20">
        <f t="shared" si="3"/>
        <v>0</v>
      </c>
    </row>
    <row r="21" spans="1:15" x14ac:dyDescent="0.25">
      <c r="A21">
        <v>1</v>
      </c>
      <c r="B21">
        <v>19</v>
      </c>
      <c r="C21">
        <f t="shared" si="0"/>
        <v>19</v>
      </c>
      <c r="D21">
        <f t="shared" si="1"/>
        <v>280.50000000000011</v>
      </c>
      <c r="E21">
        <f t="shared" si="4"/>
        <v>0.28050000000000014</v>
      </c>
      <c r="F21">
        <f t="shared" si="2"/>
        <v>1900</v>
      </c>
      <c r="G21">
        <f t="shared" si="3"/>
        <v>0</v>
      </c>
    </row>
    <row r="22" spans="1:15" x14ac:dyDescent="0.25">
      <c r="A22">
        <v>1</v>
      </c>
      <c r="B22">
        <v>20</v>
      </c>
      <c r="C22">
        <f t="shared" si="0"/>
        <v>20</v>
      </c>
      <c r="D22">
        <f t="shared" si="1"/>
        <v>300.00000000000017</v>
      </c>
      <c r="E22">
        <f t="shared" si="4"/>
        <v>0.30000000000000016</v>
      </c>
      <c r="F22">
        <f t="shared" si="2"/>
        <v>2000</v>
      </c>
      <c r="G22">
        <f t="shared" si="3"/>
        <v>0</v>
      </c>
    </row>
    <row r="23" spans="1:15" x14ac:dyDescent="0.25">
      <c r="A23">
        <v>1</v>
      </c>
      <c r="B23">
        <v>21</v>
      </c>
      <c r="C23">
        <f t="shared" si="0"/>
        <v>21</v>
      </c>
      <c r="D23">
        <f t="shared" si="1"/>
        <v>320.50000000000017</v>
      </c>
      <c r="E23">
        <f t="shared" si="4"/>
        <v>0.32050000000000017</v>
      </c>
      <c r="F23">
        <f t="shared" si="2"/>
        <v>2100</v>
      </c>
      <c r="G23">
        <f t="shared" si="3"/>
        <v>0</v>
      </c>
    </row>
    <row r="24" spans="1:15" x14ac:dyDescent="0.25">
      <c r="A24">
        <v>1</v>
      </c>
      <c r="B24">
        <v>22</v>
      </c>
      <c r="C24">
        <f t="shared" si="0"/>
        <v>22</v>
      </c>
      <c r="D24">
        <f t="shared" si="1"/>
        <v>342.00000000000017</v>
      </c>
      <c r="E24">
        <f t="shared" si="4"/>
        <v>0.34200000000000019</v>
      </c>
      <c r="F24">
        <f t="shared" si="2"/>
        <v>2200</v>
      </c>
      <c r="G24">
        <f t="shared" si="3"/>
        <v>0</v>
      </c>
    </row>
    <row r="25" spans="1:15" x14ac:dyDescent="0.25">
      <c r="A25">
        <v>1</v>
      </c>
      <c r="B25">
        <v>23</v>
      </c>
      <c r="C25">
        <f t="shared" si="0"/>
        <v>23</v>
      </c>
      <c r="D25">
        <f t="shared" si="1"/>
        <v>364.50000000000023</v>
      </c>
      <c r="E25">
        <f t="shared" si="4"/>
        <v>0.36450000000000021</v>
      </c>
      <c r="F25">
        <f t="shared" si="2"/>
        <v>2300</v>
      </c>
      <c r="G25">
        <f t="shared" si="3"/>
        <v>0</v>
      </c>
    </row>
    <row r="26" spans="1:15" x14ac:dyDescent="0.25">
      <c r="A26">
        <v>1</v>
      </c>
      <c r="B26">
        <v>24</v>
      </c>
      <c r="C26">
        <f t="shared" si="0"/>
        <v>24</v>
      </c>
      <c r="D26">
        <f t="shared" si="1"/>
        <v>388.00000000000023</v>
      </c>
      <c r="E26">
        <f t="shared" si="4"/>
        <v>0.38800000000000023</v>
      </c>
      <c r="F26">
        <f t="shared" si="2"/>
        <v>2400</v>
      </c>
      <c r="G26">
        <f t="shared" si="3"/>
        <v>0</v>
      </c>
      <c r="O26">
        <v>1000</v>
      </c>
    </row>
    <row r="27" spans="1:15" x14ac:dyDescent="0.25">
      <c r="A27">
        <v>0</v>
      </c>
      <c r="B27">
        <v>25</v>
      </c>
      <c r="C27">
        <f t="shared" si="0"/>
        <v>25</v>
      </c>
      <c r="D27">
        <f t="shared" si="1"/>
        <v>412.50000000000023</v>
      </c>
      <c r="E27">
        <f t="shared" si="4"/>
        <v>0.41250000000000026</v>
      </c>
      <c r="F27">
        <f t="shared" si="2"/>
        <v>0</v>
      </c>
      <c r="G27">
        <f t="shared" si="3"/>
        <v>0</v>
      </c>
    </row>
    <row r="28" spans="1:15" x14ac:dyDescent="0.25">
      <c r="A28">
        <v>0</v>
      </c>
      <c r="B28">
        <v>26</v>
      </c>
      <c r="C28">
        <f t="shared" si="0"/>
        <v>25</v>
      </c>
      <c r="D28">
        <f t="shared" si="1"/>
        <v>437.50000000000028</v>
      </c>
      <c r="E28">
        <f t="shared" si="4"/>
        <v>0.43750000000000028</v>
      </c>
      <c r="F28">
        <f t="shared" si="2"/>
        <v>0</v>
      </c>
      <c r="G28">
        <f t="shared" si="3"/>
        <v>0</v>
      </c>
    </row>
    <row r="29" spans="1:15" x14ac:dyDescent="0.25">
      <c r="A29">
        <v>0</v>
      </c>
      <c r="B29">
        <v>27</v>
      </c>
      <c r="C29">
        <f t="shared" ref="C29:C45" si="5">C28+A28</f>
        <v>25</v>
      </c>
      <c r="D29">
        <f t="shared" si="1"/>
        <v>462.50000000000028</v>
      </c>
      <c r="E29">
        <f t="shared" si="4"/>
        <v>0.4625000000000003</v>
      </c>
      <c r="F29">
        <f t="shared" ref="F29:F45" si="6">IF(A29&gt;0,A29*C29*100,0)</f>
        <v>0</v>
      </c>
      <c r="G29">
        <f t="shared" ref="G29:G45" si="7">IF(A29&lt;0,A29*C29*100,0)</f>
        <v>0</v>
      </c>
    </row>
    <row r="30" spans="1:15" x14ac:dyDescent="0.25">
      <c r="A30">
        <v>0</v>
      </c>
      <c r="B30">
        <v>28</v>
      </c>
      <c r="C30">
        <f t="shared" si="5"/>
        <v>25</v>
      </c>
      <c r="D30">
        <f t="shared" si="1"/>
        <v>487.50000000000034</v>
      </c>
      <c r="E30">
        <f t="shared" si="4"/>
        <v>0.48750000000000032</v>
      </c>
      <c r="F30">
        <f t="shared" si="6"/>
        <v>0</v>
      </c>
      <c r="G30">
        <f t="shared" si="7"/>
        <v>0</v>
      </c>
    </row>
    <row r="31" spans="1:15" x14ac:dyDescent="0.25">
      <c r="A31">
        <v>0</v>
      </c>
      <c r="B31">
        <v>29</v>
      </c>
      <c r="C31">
        <f t="shared" si="5"/>
        <v>25</v>
      </c>
      <c r="D31">
        <f t="shared" si="1"/>
        <v>512.50000000000034</v>
      </c>
      <c r="E31">
        <f t="shared" si="4"/>
        <v>0.51250000000000029</v>
      </c>
      <c r="F31">
        <f t="shared" si="6"/>
        <v>0</v>
      </c>
      <c r="G31">
        <f t="shared" si="7"/>
        <v>0</v>
      </c>
    </row>
    <row r="32" spans="1:15" x14ac:dyDescent="0.25">
      <c r="A32">
        <v>0</v>
      </c>
      <c r="B32">
        <v>30</v>
      </c>
      <c r="C32">
        <f t="shared" si="5"/>
        <v>25</v>
      </c>
      <c r="D32">
        <f t="shared" si="1"/>
        <v>537.50000000000034</v>
      </c>
      <c r="E32">
        <f t="shared" si="4"/>
        <v>0.53750000000000031</v>
      </c>
      <c r="F32">
        <f t="shared" si="6"/>
        <v>0</v>
      </c>
      <c r="G32">
        <f t="shared" si="7"/>
        <v>0</v>
      </c>
    </row>
    <row r="33" spans="1:7" x14ac:dyDescent="0.25">
      <c r="A33">
        <v>0</v>
      </c>
      <c r="B33">
        <v>31</v>
      </c>
      <c r="C33">
        <f t="shared" si="5"/>
        <v>25</v>
      </c>
      <c r="D33">
        <f t="shared" si="1"/>
        <v>562.50000000000034</v>
      </c>
      <c r="E33">
        <f t="shared" si="4"/>
        <v>0.56250000000000033</v>
      </c>
      <c r="F33">
        <f t="shared" si="6"/>
        <v>0</v>
      </c>
      <c r="G33">
        <f t="shared" si="7"/>
        <v>0</v>
      </c>
    </row>
    <row r="34" spans="1:7" x14ac:dyDescent="0.25">
      <c r="A34">
        <v>0</v>
      </c>
      <c r="B34">
        <v>32</v>
      </c>
      <c r="C34">
        <f t="shared" si="5"/>
        <v>25</v>
      </c>
      <c r="D34">
        <f t="shared" si="1"/>
        <v>587.50000000000034</v>
      </c>
      <c r="E34">
        <f t="shared" si="4"/>
        <v>0.58750000000000036</v>
      </c>
      <c r="F34">
        <f t="shared" si="6"/>
        <v>0</v>
      </c>
      <c r="G34">
        <f t="shared" si="7"/>
        <v>0</v>
      </c>
    </row>
    <row r="35" spans="1:7" x14ac:dyDescent="0.25">
      <c r="A35">
        <v>0</v>
      </c>
      <c r="B35">
        <v>33</v>
      </c>
      <c r="C35">
        <f t="shared" si="5"/>
        <v>25</v>
      </c>
      <c r="D35">
        <f t="shared" si="1"/>
        <v>612.50000000000034</v>
      </c>
      <c r="E35">
        <f t="shared" si="4"/>
        <v>0.61250000000000038</v>
      </c>
      <c r="F35">
        <f t="shared" si="6"/>
        <v>0</v>
      </c>
      <c r="G35">
        <f t="shared" si="7"/>
        <v>0</v>
      </c>
    </row>
    <row r="36" spans="1:7" x14ac:dyDescent="0.25">
      <c r="A36">
        <v>0</v>
      </c>
      <c r="B36">
        <v>34</v>
      </c>
      <c r="C36">
        <f t="shared" si="5"/>
        <v>25</v>
      </c>
      <c r="D36">
        <f t="shared" si="1"/>
        <v>637.50000000000045</v>
      </c>
      <c r="E36">
        <f t="shared" si="4"/>
        <v>0.6375000000000004</v>
      </c>
      <c r="F36">
        <f t="shared" si="6"/>
        <v>0</v>
      </c>
      <c r="G36">
        <f t="shared" si="7"/>
        <v>0</v>
      </c>
    </row>
    <row r="37" spans="1:7" x14ac:dyDescent="0.25">
      <c r="A37">
        <v>0</v>
      </c>
      <c r="B37">
        <v>35</v>
      </c>
      <c r="C37">
        <f t="shared" si="5"/>
        <v>25</v>
      </c>
      <c r="D37">
        <f t="shared" si="1"/>
        <v>662.50000000000045</v>
      </c>
      <c r="E37">
        <f t="shared" si="4"/>
        <v>0.66250000000000042</v>
      </c>
      <c r="F37">
        <f t="shared" si="6"/>
        <v>0</v>
      </c>
      <c r="G37">
        <f t="shared" si="7"/>
        <v>0</v>
      </c>
    </row>
    <row r="38" spans="1:7" x14ac:dyDescent="0.25">
      <c r="A38">
        <v>0</v>
      </c>
      <c r="B38">
        <v>36</v>
      </c>
      <c r="C38">
        <f t="shared" si="5"/>
        <v>25</v>
      </c>
      <c r="D38">
        <f t="shared" si="1"/>
        <v>687.50000000000045</v>
      </c>
      <c r="E38">
        <f t="shared" si="4"/>
        <v>0.68750000000000044</v>
      </c>
      <c r="F38">
        <f t="shared" si="6"/>
        <v>0</v>
      </c>
      <c r="G38">
        <f t="shared" si="7"/>
        <v>0</v>
      </c>
    </row>
    <row r="39" spans="1:7" x14ac:dyDescent="0.25">
      <c r="A39">
        <v>0</v>
      </c>
      <c r="B39">
        <v>37</v>
      </c>
      <c r="C39">
        <f t="shared" si="5"/>
        <v>25</v>
      </c>
      <c r="D39">
        <f t="shared" si="1"/>
        <v>712.50000000000045</v>
      </c>
      <c r="E39">
        <f t="shared" si="4"/>
        <v>0.71250000000000047</v>
      </c>
      <c r="F39">
        <f t="shared" si="6"/>
        <v>0</v>
      </c>
      <c r="G39">
        <f t="shared" si="7"/>
        <v>0</v>
      </c>
    </row>
    <row r="40" spans="1:7" x14ac:dyDescent="0.25">
      <c r="A40">
        <v>0</v>
      </c>
      <c r="B40">
        <v>38</v>
      </c>
      <c r="C40">
        <f t="shared" si="5"/>
        <v>25</v>
      </c>
      <c r="D40">
        <f t="shared" si="1"/>
        <v>737.50000000000045</v>
      </c>
      <c r="E40">
        <f t="shared" si="4"/>
        <v>0.73750000000000049</v>
      </c>
      <c r="F40">
        <f t="shared" si="6"/>
        <v>0</v>
      </c>
      <c r="G40">
        <f t="shared" si="7"/>
        <v>0</v>
      </c>
    </row>
    <row r="41" spans="1:7" x14ac:dyDescent="0.25">
      <c r="A41">
        <v>0</v>
      </c>
      <c r="B41">
        <v>39</v>
      </c>
      <c r="C41">
        <f t="shared" si="5"/>
        <v>25</v>
      </c>
      <c r="D41">
        <f t="shared" si="1"/>
        <v>762.50000000000045</v>
      </c>
      <c r="E41">
        <f t="shared" si="4"/>
        <v>0.76250000000000051</v>
      </c>
      <c r="F41">
        <f t="shared" si="6"/>
        <v>0</v>
      </c>
      <c r="G41">
        <f t="shared" si="7"/>
        <v>0</v>
      </c>
    </row>
    <row r="42" spans="1:7" x14ac:dyDescent="0.25">
      <c r="A42">
        <v>0</v>
      </c>
      <c r="B42">
        <v>40</v>
      </c>
      <c r="C42">
        <f t="shared" si="5"/>
        <v>25</v>
      </c>
      <c r="D42">
        <f t="shared" si="1"/>
        <v>787.50000000000057</v>
      </c>
      <c r="E42">
        <f t="shared" si="4"/>
        <v>0.78750000000000053</v>
      </c>
      <c r="F42">
        <f t="shared" si="6"/>
        <v>0</v>
      </c>
      <c r="G42">
        <f t="shared" si="7"/>
        <v>0</v>
      </c>
    </row>
    <row r="43" spans="1:7" x14ac:dyDescent="0.25">
      <c r="A43">
        <v>0</v>
      </c>
      <c r="B43">
        <v>41</v>
      </c>
      <c r="C43">
        <f t="shared" si="5"/>
        <v>25</v>
      </c>
      <c r="D43">
        <f t="shared" si="1"/>
        <v>812.50000000000057</v>
      </c>
      <c r="E43">
        <f t="shared" si="4"/>
        <v>0.81250000000000056</v>
      </c>
      <c r="F43">
        <f t="shared" si="6"/>
        <v>0</v>
      </c>
      <c r="G43">
        <f t="shared" si="7"/>
        <v>0</v>
      </c>
    </row>
    <row r="44" spans="1:7" x14ac:dyDescent="0.25">
      <c r="A44">
        <v>0</v>
      </c>
      <c r="B44">
        <v>42</v>
      </c>
      <c r="C44">
        <f t="shared" si="5"/>
        <v>25</v>
      </c>
      <c r="D44">
        <f t="shared" si="1"/>
        <v>837.50000000000057</v>
      </c>
      <c r="E44">
        <f t="shared" si="4"/>
        <v>0.83750000000000058</v>
      </c>
      <c r="F44">
        <f t="shared" si="6"/>
        <v>0</v>
      </c>
      <c r="G44">
        <f t="shared" si="7"/>
        <v>0</v>
      </c>
    </row>
    <row r="45" spans="1:7" x14ac:dyDescent="0.25">
      <c r="A45">
        <v>0</v>
      </c>
      <c r="B45">
        <v>43</v>
      </c>
      <c r="C45">
        <f t="shared" si="5"/>
        <v>25</v>
      </c>
      <c r="D45">
        <f t="shared" si="1"/>
        <v>862.50000000000057</v>
      </c>
      <c r="E45">
        <f t="shared" si="4"/>
        <v>0.8625000000000006</v>
      </c>
      <c r="F45">
        <f t="shared" si="6"/>
        <v>0</v>
      </c>
      <c r="G45">
        <f t="shared" si="7"/>
        <v>0</v>
      </c>
    </row>
    <row r="46" spans="1:7" x14ac:dyDescent="0.25">
      <c r="A46">
        <v>0</v>
      </c>
      <c r="B46">
        <v>44</v>
      </c>
      <c r="C46">
        <f t="shared" ref="C46:C91" si="8">C45+A45</f>
        <v>25</v>
      </c>
      <c r="D46">
        <f t="shared" si="1"/>
        <v>887.50000000000057</v>
      </c>
      <c r="E46">
        <f t="shared" si="4"/>
        <v>0.88750000000000062</v>
      </c>
      <c r="F46">
        <f t="shared" ref="F46:F80" si="9">IF(A46&gt;0,A46*C46*100,0)</f>
        <v>0</v>
      </c>
      <c r="G46">
        <f t="shared" ref="G46:G106" si="10">IF(A46&lt;0,A46*C46*100,0)</f>
        <v>0</v>
      </c>
    </row>
    <row r="47" spans="1:7" x14ac:dyDescent="0.25">
      <c r="A47">
        <v>0</v>
      </c>
      <c r="B47">
        <v>45</v>
      </c>
      <c r="C47">
        <f t="shared" si="8"/>
        <v>25</v>
      </c>
      <c r="D47">
        <f t="shared" si="1"/>
        <v>912.50000000000068</v>
      </c>
      <c r="E47">
        <f t="shared" si="4"/>
        <v>0.91250000000000064</v>
      </c>
      <c r="F47">
        <f t="shared" si="9"/>
        <v>0</v>
      </c>
      <c r="G47">
        <f t="shared" si="10"/>
        <v>0</v>
      </c>
    </row>
    <row r="48" spans="1:7" x14ac:dyDescent="0.25">
      <c r="A48">
        <v>0</v>
      </c>
      <c r="B48">
        <v>46</v>
      </c>
      <c r="C48">
        <f t="shared" si="8"/>
        <v>25</v>
      </c>
      <c r="D48">
        <f t="shared" si="1"/>
        <v>937.50000000000068</v>
      </c>
      <c r="E48">
        <f t="shared" si="4"/>
        <v>0.93750000000000067</v>
      </c>
      <c r="F48">
        <f t="shared" si="9"/>
        <v>0</v>
      </c>
      <c r="G48">
        <f t="shared" si="10"/>
        <v>0</v>
      </c>
    </row>
    <row r="49" spans="1:7" x14ac:dyDescent="0.25">
      <c r="A49">
        <v>0</v>
      </c>
      <c r="B49">
        <v>47</v>
      </c>
      <c r="C49">
        <f t="shared" si="8"/>
        <v>25</v>
      </c>
      <c r="D49">
        <f t="shared" si="1"/>
        <v>962.50000000000068</v>
      </c>
      <c r="E49">
        <f t="shared" si="4"/>
        <v>0.96250000000000069</v>
      </c>
      <c r="F49">
        <f t="shared" si="9"/>
        <v>0</v>
      </c>
      <c r="G49">
        <f t="shared" si="10"/>
        <v>0</v>
      </c>
    </row>
    <row r="50" spans="1:7" x14ac:dyDescent="0.25">
      <c r="A50">
        <v>0</v>
      </c>
      <c r="B50">
        <v>48</v>
      </c>
      <c r="C50">
        <f t="shared" si="8"/>
        <v>25</v>
      </c>
      <c r="D50">
        <f t="shared" si="1"/>
        <v>987.50000000000068</v>
      </c>
      <c r="E50">
        <f t="shared" si="4"/>
        <v>0.98750000000000071</v>
      </c>
      <c r="F50">
        <f t="shared" si="9"/>
        <v>0</v>
      </c>
      <c r="G50">
        <f t="shared" si="10"/>
        <v>0</v>
      </c>
    </row>
    <row r="51" spans="1:7" x14ac:dyDescent="0.25">
      <c r="A51">
        <v>0</v>
      </c>
      <c r="B51">
        <v>49</v>
      </c>
      <c r="C51">
        <f t="shared" si="8"/>
        <v>25</v>
      </c>
      <c r="D51">
        <f t="shared" si="1"/>
        <v>1012.5000000000006</v>
      </c>
      <c r="E51">
        <f t="shared" si="4"/>
        <v>1.0125000000000006</v>
      </c>
      <c r="F51">
        <f t="shared" si="9"/>
        <v>0</v>
      </c>
      <c r="G51">
        <f t="shared" si="10"/>
        <v>0</v>
      </c>
    </row>
    <row r="52" spans="1:7" x14ac:dyDescent="0.25">
      <c r="A52">
        <v>0</v>
      </c>
      <c r="B52">
        <v>50</v>
      </c>
      <c r="C52">
        <f t="shared" si="8"/>
        <v>25</v>
      </c>
      <c r="D52">
        <f t="shared" si="1"/>
        <v>1037.5000000000005</v>
      </c>
      <c r="E52">
        <f t="shared" si="4"/>
        <v>1.0375000000000005</v>
      </c>
      <c r="F52">
        <f t="shared" si="9"/>
        <v>0</v>
      </c>
      <c r="G52">
        <f t="shared" si="10"/>
        <v>0</v>
      </c>
    </row>
    <row r="53" spans="1:7" x14ac:dyDescent="0.25">
      <c r="A53">
        <v>0</v>
      </c>
      <c r="B53">
        <v>51</v>
      </c>
      <c r="C53">
        <f t="shared" si="8"/>
        <v>25</v>
      </c>
      <c r="D53">
        <f t="shared" si="1"/>
        <v>1062.5000000000005</v>
      </c>
      <c r="E53">
        <f t="shared" si="4"/>
        <v>1.0625000000000004</v>
      </c>
      <c r="F53">
        <f t="shared" si="9"/>
        <v>0</v>
      </c>
      <c r="G53">
        <f t="shared" si="10"/>
        <v>0</v>
      </c>
    </row>
    <row r="54" spans="1:7" x14ac:dyDescent="0.25">
      <c r="A54">
        <v>0</v>
      </c>
      <c r="B54">
        <v>52</v>
      </c>
      <c r="C54">
        <f t="shared" si="8"/>
        <v>25</v>
      </c>
      <c r="D54">
        <f t="shared" si="1"/>
        <v>1087.5000000000005</v>
      </c>
      <c r="E54">
        <f t="shared" si="4"/>
        <v>1.0875000000000004</v>
      </c>
      <c r="F54">
        <f t="shared" si="9"/>
        <v>0</v>
      </c>
      <c r="G54">
        <f t="shared" si="10"/>
        <v>0</v>
      </c>
    </row>
    <row r="55" spans="1:7" x14ac:dyDescent="0.25">
      <c r="A55">
        <v>0</v>
      </c>
      <c r="B55">
        <v>53</v>
      </c>
      <c r="C55">
        <f t="shared" si="8"/>
        <v>25</v>
      </c>
      <c r="D55">
        <f t="shared" si="1"/>
        <v>1112.5000000000002</v>
      </c>
      <c r="E55">
        <f t="shared" si="4"/>
        <v>1.1125000000000003</v>
      </c>
      <c r="F55">
        <f t="shared" si="9"/>
        <v>0</v>
      </c>
      <c r="G55">
        <f t="shared" si="10"/>
        <v>0</v>
      </c>
    </row>
    <row r="56" spans="1:7" x14ac:dyDescent="0.25">
      <c r="A56">
        <v>0</v>
      </c>
      <c r="B56">
        <v>54</v>
      </c>
      <c r="C56">
        <f t="shared" si="8"/>
        <v>25</v>
      </c>
      <c r="D56">
        <f t="shared" si="1"/>
        <v>1137.5000000000002</v>
      </c>
      <c r="E56">
        <f t="shared" si="4"/>
        <v>1.1375000000000002</v>
      </c>
      <c r="F56">
        <f t="shared" si="9"/>
        <v>0</v>
      </c>
      <c r="G56">
        <f t="shared" si="10"/>
        <v>0</v>
      </c>
    </row>
    <row r="57" spans="1:7" x14ac:dyDescent="0.25">
      <c r="A57">
        <v>0</v>
      </c>
      <c r="B57">
        <v>55</v>
      </c>
      <c r="C57">
        <f t="shared" si="8"/>
        <v>25</v>
      </c>
      <c r="D57">
        <f t="shared" si="1"/>
        <v>1162.5</v>
      </c>
      <c r="E57">
        <f t="shared" si="4"/>
        <v>1.1625000000000001</v>
      </c>
      <c r="F57">
        <f t="shared" si="9"/>
        <v>0</v>
      </c>
      <c r="G57">
        <f t="shared" si="10"/>
        <v>0</v>
      </c>
    </row>
    <row r="58" spans="1:7" x14ac:dyDescent="0.25">
      <c r="A58">
        <v>0</v>
      </c>
      <c r="B58">
        <v>56</v>
      </c>
      <c r="C58">
        <f t="shared" si="8"/>
        <v>25</v>
      </c>
      <c r="D58">
        <f t="shared" si="1"/>
        <v>1187.5</v>
      </c>
      <c r="E58">
        <f t="shared" si="4"/>
        <v>1.1875</v>
      </c>
      <c r="F58">
        <f t="shared" si="9"/>
        <v>0</v>
      </c>
      <c r="G58">
        <f t="shared" si="10"/>
        <v>0</v>
      </c>
    </row>
    <row r="59" spans="1:7" x14ac:dyDescent="0.25">
      <c r="A59">
        <v>0</v>
      </c>
      <c r="B59">
        <v>57</v>
      </c>
      <c r="C59">
        <f t="shared" si="8"/>
        <v>25</v>
      </c>
      <c r="D59">
        <f t="shared" si="1"/>
        <v>1212.5</v>
      </c>
      <c r="E59">
        <f t="shared" si="4"/>
        <v>1.2124999999999999</v>
      </c>
      <c r="F59">
        <f t="shared" si="9"/>
        <v>0</v>
      </c>
      <c r="G59">
        <f t="shared" si="10"/>
        <v>0</v>
      </c>
    </row>
    <row r="60" spans="1:7" x14ac:dyDescent="0.25">
      <c r="A60">
        <v>0</v>
      </c>
      <c r="B60">
        <v>58</v>
      </c>
      <c r="C60">
        <f t="shared" si="8"/>
        <v>25</v>
      </c>
      <c r="D60">
        <f t="shared" si="1"/>
        <v>1237.4999999999998</v>
      </c>
      <c r="E60">
        <f t="shared" si="4"/>
        <v>1.2374999999999998</v>
      </c>
      <c r="F60">
        <f t="shared" si="9"/>
        <v>0</v>
      </c>
      <c r="G60">
        <f t="shared" si="10"/>
        <v>0</v>
      </c>
    </row>
    <row r="61" spans="1:7" x14ac:dyDescent="0.25">
      <c r="A61">
        <v>0</v>
      </c>
      <c r="B61">
        <v>59</v>
      </c>
      <c r="C61">
        <f t="shared" si="8"/>
        <v>25</v>
      </c>
      <c r="D61">
        <f t="shared" si="1"/>
        <v>1262.4999999999998</v>
      </c>
      <c r="E61">
        <f t="shared" si="4"/>
        <v>1.2624999999999997</v>
      </c>
      <c r="F61">
        <f t="shared" si="9"/>
        <v>0</v>
      </c>
      <c r="G61">
        <f t="shared" si="10"/>
        <v>0</v>
      </c>
    </row>
    <row r="62" spans="1:7" x14ac:dyDescent="0.25">
      <c r="A62">
        <v>0</v>
      </c>
      <c r="B62">
        <v>60</v>
      </c>
      <c r="C62">
        <f t="shared" si="8"/>
        <v>25</v>
      </c>
      <c r="D62">
        <f t="shared" si="1"/>
        <v>1287.4999999999995</v>
      </c>
      <c r="E62">
        <f t="shared" si="4"/>
        <v>1.2874999999999996</v>
      </c>
      <c r="F62">
        <f t="shared" si="9"/>
        <v>0</v>
      </c>
      <c r="G62">
        <f t="shared" si="10"/>
        <v>0</v>
      </c>
    </row>
    <row r="63" spans="1:7" x14ac:dyDescent="0.25">
      <c r="A63">
        <v>0</v>
      </c>
      <c r="B63">
        <v>61</v>
      </c>
      <c r="C63">
        <f t="shared" si="8"/>
        <v>25</v>
      </c>
      <c r="D63">
        <f t="shared" si="1"/>
        <v>1312.4999999999995</v>
      </c>
      <c r="E63">
        <f t="shared" si="4"/>
        <v>1.3124999999999996</v>
      </c>
      <c r="F63">
        <f t="shared" si="9"/>
        <v>0</v>
      </c>
      <c r="G63">
        <f t="shared" si="10"/>
        <v>0</v>
      </c>
    </row>
    <row r="64" spans="1:7" x14ac:dyDescent="0.25">
      <c r="A64">
        <v>0</v>
      </c>
      <c r="B64">
        <v>62</v>
      </c>
      <c r="C64">
        <f t="shared" si="8"/>
        <v>25</v>
      </c>
      <c r="D64">
        <f t="shared" si="1"/>
        <v>1337.4999999999995</v>
      </c>
      <c r="E64">
        <f t="shared" si="4"/>
        <v>1.3374999999999995</v>
      </c>
      <c r="F64">
        <f t="shared" si="9"/>
        <v>0</v>
      </c>
      <c r="G64">
        <f t="shared" si="10"/>
        <v>0</v>
      </c>
    </row>
    <row r="65" spans="1:10" x14ac:dyDescent="0.25">
      <c r="A65">
        <v>0</v>
      </c>
      <c r="B65">
        <v>63</v>
      </c>
      <c r="C65">
        <f t="shared" si="8"/>
        <v>25</v>
      </c>
      <c r="D65">
        <f t="shared" si="1"/>
        <v>1362.4999999999993</v>
      </c>
      <c r="E65">
        <f t="shared" si="4"/>
        <v>1.3624999999999994</v>
      </c>
      <c r="F65">
        <f t="shared" si="9"/>
        <v>0</v>
      </c>
      <c r="G65">
        <f t="shared" si="10"/>
        <v>0</v>
      </c>
    </row>
    <row r="66" spans="1:10" x14ac:dyDescent="0.25">
      <c r="A66">
        <v>0</v>
      </c>
      <c r="B66">
        <v>64</v>
      </c>
      <c r="C66">
        <f t="shared" ref="C66:C68" si="11">C65+A65</f>
        <v>25</v>
      </c>
      <c r="D66">
        <f t="shared" si="1"/>
        <v>1387.4999999999993</v>
      </c>
      <c r="E66">
        <f t="shared" si="4"/>
        <v>1.3874999999999993</v>
      </c>
      <c r="F66">
        <f t="shared" ref="F66:F68" si="12">IF(A66&gt;0,A66*C66*100,0)</f>
        <v>0</v>
      </c>
      <c r="G66">
        <f t="shared" ref="G66:G68" si="13">IF(A66&lt;0,A66*C66*100,0)</f>
        <v>0</v>
      </c>
    </row>
    <row r="67" spans="1:10" x14ac:dyDescent="0.25">
      <c r="A67">
        <v>0</v>
      </c>
      <c r="B67">
        <v>65</v>
      </c>
      <c r="C67">
        <f t="shared" si="11"/>
        <v>25</v>
      </c>
      <c r="D67">
        <f t="shared" ref="D67:D106" si="14">1000*E67</f>
        <v>1412.4999999999991</v>
      </c>
      <c r="E67">
        <f t="shared" si="4"/>
        <v>1.4124999999999992</v>
      </c>
      <c r="F67">
        <f t="shared" si="12"/>
        <v>0</v>
      </c>
      <c r="G67">
        <f t="shared" si="13"/>
        <v>0</v>
      </c>
    </row>
    <row r="68" spans="1:10" x14ac:dyDescent="0.25">
      <c r="A68">
        <v>0</v>
      </c>
      <c r="B68">
        <v>66</v>
      </c>
      <c r="C68">
        <f t="shared" si="11"/>
        <v>25</v>
      </c>
      <c r="D68">
        <f t="shared" si="14"/>
        <v>1437.4999999999991</v>
      </c>
      <c r="E68">
        <f t="shared" ref="E68:E106" si="15">(E67+(C67+0.5*A67)/1000)</f>
        <v>1.4374999999999991</v>
      </c>
      <c r="F68">
        <f t="shared" si="12"/>
        <v>0</v>
      </c>
      <c r="G68">
        <f t="shared" si="13"/>
        <v>0</v>
      </c>
    </row>
    <row r="69" spans="1:10" x14ac:dyDescent="0.25">
      <c r="A69">
        <v>0</v>
      </c>
      <c r="B69">
        <v>67</v>
      </c>
      <c r="C69">
        <f t="shared" ref="C69:C71" si="16">C68+A68</f>
        <v>25</v>
      </c>
      <c r="D69">
        <f t="shared" si="14"/>
        <v>1462.4999999999991</v>
      </c>
      <c r="E69">
        <f t="shared" si="15"/>
        <v>1.462499999999999</v>
      </c>
      <c r="F69">
        <f t="shared" ref="F69:F71" si="17">IF(A69&gt;0,A69*C69*100,0)</f>
        <v>0</v>
      </c>
      <c r="G69">
        <f t="shared" ref="G69:G71" si="18">IF(A69&lt;0,A69*C69*100,0)</f>
        <v>0</v>
      </c>
    </row>
    <row r="70" spans="1:10" x14ac:dyDescent="0.25">
      <c r="A70">
        <v>0</v>
      </c>
      <c r="B70">
        <v>68</v>
      </c>
      <c r="C70">
        <f t="shared" si="16"/>
        <v>25</v>
      </c>
      <c r="D70">
        <f t="shared" si="14"/>
        <v>1487.4999999999989</v>
      </c>
      <c r="E70">
        <f t="shared" si="15"/>
        <v>1.4874999999999989</v>
      </c>
      <c r="F70">
        <f t="shared" si="17"/>
        <v>0</v>
      </c>
      <c r="G70">
        <f t="shared" si="18"/>
        <v>0</v>
      </c>
    </row>
    <row r="71" spans="1:10" x14ac:dyDescent="0.25">
      <c r="A71">
        <v>0</v>
      </c>
      <c r="B71">
        <v>69</v>
      </c>
      <c r="C71">
        <f t="shared" si="16"/>
        <v>25</v>
      </c>
      <c r="D71">
        <f t="shared" si="14"/>
        <v>1512.4999999999989</v>
      </c>
      <c r="E71">
        <f t="shared" si="15"/>
        <v>1.5124999999999988</v>
      </c>
      <c r="F71">
        <f t="shared" si="17"/>
        <v>0</v>
      </c>
      <c r="G71">
        <f t="shared" si="18"/>
        <v>0</v>
      </c>
    </row>
    <row r="72" spans="1:10" x14ac:dyDescent="0.25">
      <c r="A72">
        <v>0</v>
      </c>
      <c r="B72">
        <v>70</v>
      </c>
      <c r="C72">
        <f t="shared" ref="C72:C80" si="19">C71+A71</f>
        <v>25</v>
      </c>
      <c r="D72">
        <f t="shared" si="14"/>
        <v>1537.4999999999989</v>
      </c>
      <c r="E72">
        <f t="shared" si="15"/>
        <v>1.5374999999999988</v>
      </c>
      <c r="F72">
        <f t="shared" si="9"/>
        <v>0</v>
      </c>
      <c r="G72">
        <f t="shared" si="10"/>
        <v>0</v>
      </c>
    </row>
    <row r="73" spans="1:10" x14ac:dyDescent="0.25">
      <c r="A73">
        <v>0</v>
      </c>
      <c r="B73">
        <v>71</v>
      </c>
      <c r="C73">
        <f t="shared" si="19"/>
        <v>25</v>
      </c>
      <c r="D73">
        <f t="shared" si="14"/>
        <v>1562.4999999999986</v>
      </c>
      <c r="E73">
        <f t="shared" si="15"/>
        <v>1.5624999999999987</v>
      </c>
      <c r="F73">
        <f t="shared" si="9"/>
        <v>0</v>
      </c>
      <c r="G73">
        <f t="shared" si="10"/>
        <v>0</v>
      </c>
    </row>
    <row r="74" spans="1:10" x14ac:dyDescent="0.25">
      <c r="A74">
        <v>0</v>
      </c>
      <c r="B74">
        <v>72</v>
      </c>
      <c r="C74">
        <f t="shared" si="19"/>
        <v>25</v>
      </c>
      <c r="D74">
        <f t="shared" si="14"/>
        <v>1587.4999999999986</v>
      </c>
      <c r="E74">
        <f t="shared" si="15"/>
        <v>1.5874999999999986</v>
      </c>
      <c r="F74">
        <f t="shared" si="9"/>
        <v>0</v>
      </c>
      <c r="G74">
        <f t="shared" si="10"/>
        <v>0</v>
      </c>
      <c r="J74">
        <v>-1</v>
      </c>
    </row>
    <row r="75" spans="1:10" x14ac:dyDescent="0.25">
      <c r="A75">
        <v>0</v>
      </c>
      <c r="B75">
        <v>73</v>
      </c>
      <c r="C75">
        <f t="shared" si="19"/>
        <v>25</v>
      </c>
      <c r="D75">
        <f t="shared" si="14"/>
        <v>1612.4999999999984</v>
      </c>
      <c r="E75">
        <f t="shared" si="15"/>
        <v>1.6124999999999985</v>
      </c>
      <c r="F75">
        <f t="shared" si="9"/>
        <v>0</v>
      </c>
      <c r="G75">
        <f t="shared" si="10"/>
        <v>0</v>
      </c>
    </row>
    <row r="76" spans="1:10" x14ac:dyDescent="0.25">
      <c r="A76">
        <v>0</v>
      </c>
      <c r="B76">
        <v>74</v>
      </c>
      <c r="C76">
        <f t="shared" si="19"/>
        <v>25</v>
      </c>
      <c r="D76">
        <f t="shared" si="14"/>
        <v>1637.4999999999984</v>
      </c>
      <c r="E76">
        <f t="shared" si="15"/>
        <v>1.6374999999999984</v>
      </c>
      <c r="F76">
        <f t="shared" si="9"/>
        <v>0</v>
      </c>
      <c r="G76">
        <f t="shared" si="10"/>
        <v>0</v>
      </c>
    </row>
    <row r="77" spans="1:10" x14ac:dyDescent="0.25">
      <c r="A77">
        <v>0</v>
      </c>
      <c r="B77">
        <v>75</v>
      </c>
      <c r="C77">
        <f t="shared" si="19"/>
        <v>25</v>
      </c>
      <c r="D77">
        <f t="shared" si="14"/>
        <v>1662.4999999999984</v>
      </c>
      <c r="E77">
        <f t="shared" si="15"/>
        <v>1.6624999999999983</v>
      </c>
      <c r="F77">
        <f t="shared" si="9"/>
        <v>0</v>
      </c>
      <c r="G77">
        <f t="shared" si="10"/>
        <v>0</v>
      </c>
    </row>
    <row r="78" spans="1:10" x14ac:dyDescent="0.25">
      <c r="A78">
        <v>0</v>
      </c>
      <c r="B78">
        <v>76</v>
      </c>
      <c r="C78">
        <f t="shared" si="19"/>
        <v>25</v>
      </c>
      <c r="D78">
        <f t="shared" si="14"/>
        <v>1687.4999999999982</v>
      </c>
      <c r="E78">
        <f t="shared" si="15"/>
        <v>1.6874999999999982</v>
      </c>
      <c r="F78">
        <f t="shared" si="9"/>
        <v>0</v>
      </c>
      <c r="G78">
        <f t="shared" si="10"/>
        <v>0</v>
      </c>
    </row>
    <row r="79" spans="1:10" x14ac:dyDescent="0.25">
      <c r="A79">
        <v>0</v>
      </c>
      <c r="B79">
        <v>77</v>
      </c>
      <c r="C79">
        <f t="shared" si="19"/>
        <v>25</v>
      </c>
      <c r="D79">
        <f t="shared" si="14"/>
        <v>1712.4999999999982</v>
      </c>
      <c r="E79">
        <f t="shared" si="15"/>
        <v>1.7124999999999981</v>
      </c>
      <c r="F79">
        <f t="shared" si="9"/>
        <v>0</v>
      </c>
      <c r="G79">
        <f t="shared" si="10"/>
        <v>0</v>
      </c>
    </row>
    <row r="80" spans="1:10" x14ac:dyDescent="0.25">
      <c r="A80">
        <v>0</v>
      </c>
      <c r="B80">
        <v>78</v>
      </c>
      <c r="C80">
        <f t="shared" si="19"/>
        <v>25</v>
      </c>
      <c r="D80">
        <f t="shared" si="14"/>
        <v>1737.499999999998</v>
      </c>
      <c r="E80">
        <f t="shared" si="15"/>
        <v>1.737499999999998</v>
      </c>
      <c r="F80">
        <f t="shared" si="9"/>
        <v>0</v>
      </c>
      <c r="G80">
        <f t="shared" si="10"/>
        <v>0</v>
      </c>
    </row>
    <row r="81" spans="1:7" x14ac:dyDescent="0.25">
      <c r="A81">
        <v>-1</v>
      </c>
      <c r="B81">
        <v>79</v>
      </c>
      <c r="C81">
        <f t="shared" si="8"/>
        <v>25</v>
      </c>
      <c r="D81">
        <f t="shared" si="14"/>
        <v>1762.499999999998</v>
      </c>
      <c r="E81">
        <f t="shared" si="15"/>
        <v>1.762499999999998</v>
      </c>
      <c r="F81">
        <f t="shared" si="2"/>
        <v>0</v>
      </c>
      <c r="G81">
        <f t="shared" si="10"/>
        <v>-2500</v>
      </c>
    </row>
    <row r="82" spans="1:7" x14ac:dyDescent="0.25">
      <c r="A82">
        <v>-1</v>
      </c>
      <c r="B82">
        <v>80</v>
      </c>
      <c r="C82">
        <f t="shared" si="8"/>
        <v>24</v>
      </c>
      <c r="D82">
        <f t="shared" si="14"/>
        <v>1786.999999999998</v>
      </c>
      <c r="E82">
        <f t="shared" si="15"/>
        <v>1.7869999999999979</v>
      </c>
      <c r="F82">
        <f t="shared" si="2"/>
        <v>0</v>
      </c>
      <c r="G82">
        <f t="shared" si="10"/>
        <v>-2400</v>
      </c>
    </row>
    <row r="83" spans="1:7" x14ac:dyDescent="0.25">
      <c r="A83">
        <v>-1</v>
      </c>
      <c r="B83">
        <v>81</v>
      </c>
      <c r="C83">
        <f t="shared" si="8"/>
        <v>23</v>
      </c>
      <c r="D83">
        <f t="shared" si="14"/>
        <v>1810.499999999998</v>
      </c>
      <c r="E83">
        <f t="shared" si="15"/>
        <v>1.810499999999998</v>
      </c>
      <c r="F83">
        <f t="shared" si="2"/>
        <v>0</v>
      </c>
      <c r="G83">
        <f t="shared" si="10"/>
        <v>-2300</v>
      </c>
    </row>
    <row r="84" spans="1:7" x14ac:dyDescent="0.25">
      <c r="A84">
        <v>-1</v>
      </c>
      <c r="B84">
        <v>82</v>
      </c>
      <c r="C84">
        <f t="shared" si="8"/>
        <v>22</v>
      </c>
      <c r="D84">
        <f t="shared" si="14"/>
        <v>1832.999999999998</v>
      </c>
      <c r="E84">
        <f t="shared" si="15"/>
        <v>1.832999999999998</v>
      </c>
      <c r="F84">
        <f t="shared" si="2"/>
        <v>0</v>
      </c>
      <c r="G84">
        <f t="shared" si="10"/>
        <v>-2200</v>
      </c>
    </row>
    <row r="85" spans="1:7" x14ac:dyDescent="0.25">
      <c r="A85">
        <v>-1</v>
      </c>
      <c r="B85">
        <v>83</v>
      </c>
      <c r="C85">
        <f t="shared" si="8"/>
        <v>21</v>
      </c>
      <c r="D85">
        <f t="shared" si="14"/>
        <v>1854.499999999998</v>
      </c>
      <c r="E85">
        <f t="shared" si="15"/>
        <v>1.854499999999998</v>
      </c>
      <c r="F85">
        <f t="shared" si="2"/>
        <v>0</v>
      </c>
      <c r="G85">
        <f t="shared" si="10"/>
        <v>-2100</v>
      </c>
    </row>
    <row r="86" spans="1:7" x14ac:dyDescent="0.25">
      <c r="A86">
        <v>-1</v>
      </c>
      <c r="B86">
        <v>84</v>
      </c>
      <c r="C86">
        <f t="shared" si="8"/>
        <v>20</v>
      </c>
      <c r="D86">
        <f t="shared" si="14"/>
        <v>1874.999999999998</v>
      </c>
      <c r="E86">
        <f t="shared" si="15"/>
        <v>1.874999999999998</v>
      </c>
      <c r="F86">
        <f t="shared" si="2"/>
        <v>0</v>
      </c>
      <c r="G86">
        <f t="shared" si="10"/>
        <v>-2000</v>
      </c>
    </row>
    <row r="87" spans="1:7" x14ac:dyDescent="0.25">
      <c r="A87">
        <v>-1</v>
      </c>
      <c r="B87">
        <v>85</v>
      </c>
      <c r="C87">
        <f t="shared" si="8"/>
        <v>19</v>
      </c>
      <c r="D87">
        <f t="shared" si="14"/>
        <v>1894.4999999999982</v>
      </c>
      <c r="E87">
        <f t="shared" si="15"/>
        <v>1.8944999999999981</v>
      </c>
      <c r="F87">
        <f t="shared" ref="F87:F91" si="20">IF(A87&gt;0,A87*C87*100,0)</f>
        <v>0</v>
      </c>
      <c r="G87">
        <f t="shared" si="10"/>
        <v>-1900</v>
      </c>
    </row>
    <row r="88" spans="1:7" x14ac:dyDescent="0.25">
      <c r="A88">
        <v>-1</v>
      </c>
      <c r="B88">
        <v>86</v>
      </c>
      <c r="C88">
        <f t="shared" si="8"/>
        <v>18</v>
      </c>
      <c r="D88">
        <f t="shared" si="14"/>
        <v>1912.999999999998</v>
      </c>
      <c r="E88">
        <f t="shared" si="15"/>
        <v>1.912999999999998</v>
      </c>
      <c r="F88">
        <f t="shared" si="20"/>
        <v>0</v>
      </c>
      <c r="G88">
        <f t="shared" si="10"/>
        <v>-1800</v>
      </c>
    </row>
    <row r="89" spans="1:7" x14ac:dyDescent="0.25">
      <c r="A89">
        <v>-1</v>
      </c>
      <c r="B89">
        <v>87</v>
      </c>
      <c r="C89">
        <f t="shared" si="8"/>
        <v>17</v>
      </c>
      <c r="D89">
        <f t="shared" si="14"/>
        <v>1930.4999999999982</v>
      </c>
      <c r="E89">
        <f t="shared" si="15"/>
        <v>1.9304999999999981</v>
      </c>
      <c r="F89">
        <f t="shared" si="20"/>
        <v>0</v>
      </c>
      <c r="G89">
        <f t="shared" si="10"/>
        <v>-1700</v>
      </c>
    </row>
    <row r="90" spans="1:7" x14ac:dyDescent="0.25">
      <c r="A90">
        <v>-1</v>
      </c>
      <c r="B90">
        <v>88</v>
      </c>
      <c r="C90">
        <f t="shared" si="8"/>
        <v>16</v>
      </c>
      <c r="D90">
        <f t="shared" si="14"/>
        <v>1946.999999999998</v>
      </c>
      <c r="E90">
        <f t="shared" si="15"/>
        <v>1.9469999999999981</v>
      </c>
      <c r="F90">
        <f t="shared" si="20"/>
        <v>0</v>
      </c>
      <c r="G90">
        <f t="shared" si="10"/>
        <v>-1600</v>
      </c>
    </row>
    <row r="91" spans="1:7" x14ac:dyDescent="0.25">
      <c r="A91">
        <v>-1</v>
      </c>
      <c r="B91">
        <v>89</v>
      </c>
      <c r="C91">
        <f t="shared" si="8"/>
        <v>15</v>
      </c>
      <c r="D91">
        <f t="shared" si="14"/>
        <v>1962.4999999999982</v>
      </c>
      <c r="E91">
        <f t="shared" si="15"/>
        <v>1.9624999999999981</v>
      </c>
      <c r="F91">
        <f t="shared" si="20"/>
        <v>0</v>
      </c>
      <c r="G91">
        <f t="shared" si="10"/>
        <v>-1500</v>
      </c>
    </row>
    <row r="92" spans="1:7" x14ac:dyDescent="0.25">
      <c r="A92">
        <v>-1</v>
      </c>
      <c r="B92">
        <v>90</v>
      </c>
      <c r="C92">
        <f t="shared" ref="C92:C103" si="21">C91+A91</f>
        <v>14</v>
      </c>
      <c r="D92">
        <f t="shared" si="14"/>
        <v>1976.9999999999982</v>
      </c>
      <c r="E92">
        <f t="shared" si="15"/>
        <v>1.9769999999999981</v>
      </c>
      <c r="F92">
        <f t="shared" ref="F92:F103" si="22">IF(A92&gt;0,A92*C92*100,0)</f>
        <v>0</v>
      </c>
      <c r="G92">
        <f t="shared" si="10"/>
        <v>-1400</v>
      </c>
    </row>
    <row r="93" spans="1:7" x14ac:dyDescent="0.25">
      <c r="A93">
        <v>-1</v>
      </c>
      <c r="B93">
        <v>91</v>
      </c>
      <c r="C93">
        <f t="shared" si="21"/>
        <v>13</v>
      </c>
      <c r="D93">
        <f t="shared" si="14"/>
        <v>1990.4999999999982</v>
      </c>
      <c r="E93">
        <f t="shared" si="15"/>
        <v>1.9904999999999982</v>
      </c>
      <c r="F93">
        <f t="shared" si="22"/>
        <v>0</v>
      </c>
      <c r="G93">
        <f t="shared" si="10"/>
        <v>-1300</v>
      </c>
    </row>
    <row r="94" spans="1:7" x14ac:dyDescent="0.25">
      <c r="A94">
        <v>-1</v>
      </c>
      <c r="B94">
        <v>92</v>
      </c>
      <c r="C94">
        <f t="shared" si="21"/>
        <v>12</v>
      </c>
      <c r="D94">
        <f t="shared" si="14"/>
        <v>2002.9999999999984</v>
      </c>
      <c r="E94">
        <f t="shared" si="15"/>
        <v>2.0029999999999983</v>
      </c>
      <c r="F94">
        <f t="shared" si="22"/>
        <v>0</v>
      </c>
      <c r="G94">
        <f t="shared" si="10"/>
        <v>-1200</v>
      </c>
    </row>
    <row r="95" spans="1:7" x14ac:dyDescent="0.25">
      <c r="A95">
        <v>-1</v>
      </c>
      <c r="B95">
        <v>93</v>
      </c>
      <c r="C95">
        <f t="shared" si="21"/>
        <v>11</v>
      </c>
      <c r="D95">
        <f t="shared" si="14"/>
        <v>2014.4999999999982</v>
      </c>
      <c r="E95">
        <f t="shared" si="15"/>
        <v>2.0144999999999982</v>
      </c>
      <c r="F95">
        <f t="shared" si="22"/>
        <v>0</v>
      </c>
      <c r="G95">
        <f t="shared" si="10"/>
        <v>-1100</v>
      </c>
    </row>
    <row r="96" spans="1:7" x14ac:dyDescent="0.25">
      <c r="A96">
        <v>-1</v>
      </c>
      <c r="B96">
        <v>94</v>
      </c>
      <c r="C96">
        <f t="shared" si="21"/>
        <v>10</v>
      </c>
      <c r="D96">
        <f t="shared" si="14"/>
        <v>2024.9999999999982</v>
      </c>
      <c r="E96">
        <f t="shared" si="15"/>
        <v>2.0249999999999981</v>
      </c>
      <c r="F96">
        <f t="shared" si="22"/>
        <v>0</v>
      </c>
      <c r="G96">
        <f t="shared" si="10"/>
        <v>-1000</v>
      </c>
    </row>
    <row r="97" spans="1:7" x14ac:dyDescent="0.25">
      <c r="A97">
        <v>-1</v>
      </c>
      <c r="B97">
        <v>95</v>
      </c>
      <c r="C97">
        <f t="shared" si="21"/>
        <v>9</v>
      </c>
      <c r="D97">
        <f t="shared" si="14"/>
        <v>2034.4999999999982</v>
      </c>
      <c r="E97">
        <f t="shared" si="15"/>
        <v>2.0344999999999982</v>
      </c>
      <c r="F97">
        <f t="shared" si="22"/>
        <v>0</v>
      </c>
      <c r="G97">
        <f t="shared" si="10"/>
        <v>-900</v>
      </c>
    </row>
    <row r="98" spans="1:7" x14ac:dyDescent="0.25">
      <c r="A98">
        <v>-1</v>
      </c>
      <c r="B98">
        <v>96</v>
      </c>
      <c r="C98">
        <f t="shared" si="21"/>
        <v>8</v>
      </c>
      <c r="D98">
        <f t="shared" si="14"/>
        <v>2042.9999999999984</v>
      </c>
      <c r="E98">
        <f t="shared" si="15"/>
        <v>2.0429999999999984</v>
      </c>
      <c r="F98">
        <f t="shared" si="22"/>
        <v>0</v>
      </c>
      <c r="G98">
        <f t="shared" si="10"/>
        <v>-800</v>
      </c>
    </row>
    <row r="99" spans="1:7" x14ac:dyDescent="0.25">
      <c r="A99">
        <v>-1</v>
      </c>
      <c r="B99">
        <v>97</v>
      </c>
      <c r="C99">
        <f t="shared" si="21"/>
        <v>7</v>
      </c>
      <c r="D99">
        <f t="shared" si="14"/>
        <v>2050.4999999999982</v>
      </c>
      <c r="E99">
        <f t="shared" si="15"/>
        <v>2.0504999999999982</v>
      </c>
      <c r="F99">
        <f t="shared" si="22"/>
        <v>0</v>
      </c>
      <c r="G99">
        <f t="shared" si="10"/>
        <v>-700</v>
      </c>
    </row>
    <row r="100" spans="1:7" x14ac:dyDescent="0.25">
      <c r="A100">
        <v>-1</v>
      </c>
      <c r="B100">
        <v>98</v>
      </c>
      <c r="C100">
        <f t="shared" si="21"/>
        <v>6</v>
      </c>
      <c r="D100">
        <f t="shared" si="14"/>
        <v>2056.9999999999982</v>
      </c>
      <c r="E100">
        <f t="shared" si="15"/>
        <v>2.0569999999999982</v>
      </c>
      <c r="F100">
        <f t="shared" si="22"/>
        <v>0</v>
      </c>
      <c r="G100">
        <f t="shared" si="10"/>
        <v>-600</v>
      </c>
    </row>
    <row r="101" spans="1:7" x14ac:dyDescent="0.25">
      <c r="A101">
        <v>-1</v>
      </c>
      <c r="B101">
        <v>99</v>
      </c>
      <c r="C101">
        <f t="shared" si="21"/>
        <v>5</v>
      </c>
      <c r="D101">
        <f t="shared" si="14"/>
        <v>2062.4999999999982</v>
      </c>
      <c r="E101">
        <f t="shared" si="15"/>
        <v>2.0624999999999982</v>
      </c>
      <c r="F101">
        <f t="shared" si="22"/>
        <v>0</v>
      </c>
      <c r="G101">
        <f t="shared" si="10"/>
        <v>-500</v>
      </c>
    </row>
    <row r="102" spans="1:7" x14ac:dyDescent="0.25">
      <c r="A102">
        <v>-1</v>
      </c>
      <c r="B102">
        <v>100</v>
      </c>
      <c r="C102">
        <f t="shared" si="21"/>
        <v>4</v>
      </c>
      <c r="D102">
        <f t="shared" si="14"/>
        <v>2066.9999999999982</v>
      </c>
      <c r="E102">
        <f t="shared" si="15"/>
        <v>2.0669999999999984</v>
      </c>
      <c r="F102">
        <f t="shared" si="22"/>
        <v>0</v>
      </c>
      <c r="G102">
        <f t="shared" si="10"/>
        <v>-400</v>
      </c>
    </row>
    <row r="103" spans="1:7" x14ac:dyDescent="0.25">
      <c r="A103">
        <v>-1</v>
      </c>
      <c r="B103">
        <v>101</v>
      </c>
      <c r="C103">
        <f t="shared" si="21"/>
        <v>3</v>
      </c>
      <c r="D103">
        <f t="shared" si="14"/>
        <v>2070.4999999999982</v>
      </c>
      <c r="E103">
        <f t="shared" si="15"/>
        <v>2.0704999999999982</v>
      </c>
      <c r="F103">
        <f t="shared" si="22"/>
        <v>0</v>
      </c>
      <c r="G103">
        <f t="shared" si="10"/>
        <v>-300</v>
      </c>
    </row>
    <row r="104" spans="1:7" x14ac:dyDescent="0.25">
      <c r="A104">
        <v>-1</v>
      </c>
      <c r="B104">
        <v>102</v>
      </c>
      <c r="C104">
        <f t="shared" ref="C104:C106" si="23">C103+A103</f>
        <v>2</v>
      </c>
      <c r="D104">
        <f t="shared" si="14"/>
        <v>2072.9999999999982</v>
      </c>
      <c r="E104">
        <f t="shared" si="15"/>
        <v>2.0729999999999982</v>
      </c>
      <c r="F104">
        <f t="shared" ref="F104:F106" si="24">IF(A104&gt;0,A104*C104*100,0)</f>
        <v>0</v>
      </c>
      <c r="G104">
        <f t="shared" si="10"/>
        <v>-200</v>
      </c>
    </row>
    <row r="105" spans="1:7" x14ac:dyDescent="0.25">
      <c r="A105">
        <v>-1</v>
      </c>
      <c r="B105">
        <v>103</v>
      </c>
      <c r="C105">
        <f t="shared" si="23"/>
        <v>1</v>
      </c>
      <c r="D105">
        <f t="shared" si="14"/>
        <v>2074.4999999999982</v>
      </c>
      <c r="E105">
        <f t="shared" si="15"/>
        <v>2.0744999999999982</v>
      </c>
      <c r="F105">
        <f t="shared" si="24"/>
        <v>0</v>
      </c>
      <c r="G105">
        <f t="shared" si="10"/>
        <v>-100</v>
      </c>
    </row>
    <row r="106" spans="1:7" x14ac:dyDescent="0.25">
      <c r="A106">
        <v>-1</v>
      </c>
      <c r="B106">
        <v>104</v>
      </c>
      <c r="C106">
        <f t="shared" si="23"/>
        <v>0</v>
      </c>
      <c r="D106">
        <f t="shared" si="14"/>
        <v>2074.9999999999982</v>
      </c>
      <c r="E106">
        <f t="shared" si="15"/>
        <v>2.0749999999999984</v>
      </c>
      <c r="F106">
        <f t="shared" si="24"/>
        <v>0</v>
      </c>
      <c r="G106">
        <f t="shared" si="10"/>
        <v>0</v>
      </c>
    </row>
  </sheetData>
  <pageMargins left="0.7" right="0.7" top="0.75" bottom="0.75" header="0.3" footer="0.3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3DEBA-F1F3-4D90-A20E-9724891C93A9}">
  <dimension ref="A1:G106"/>
  <sheetViews>
    <sheetView topLeftCell="A67" workbookViewId="0">
      <selection activeCell="D8" sqref="D8"/>
    </sheetView>
  </sheetViews>
  <sheetFormatPr defaultRowHeight="15" x14ac:dyDescent="0.25"/>
  <sheetData>
    <row r="1" spans="1:7" x14ac:dyDescent="0.25">
      <c r="A1" t="s">
        <v>5</v>
      </c>
      <c r="B1" t="s">
        <v>0</v>
      </c>
      <c r="C1" t="s">
        <v>2</v>
      </c>
      <c r="D1" t="s">
        <v>6</v>
      </c>
      <c r="E1" t="s">
        <v>1</v>
      </c>
      <c r="F1" t="s">
        <v>3</v>
      </c>
      <c r="G1" t="s">
        <v>4</v>
      </c>
    </row>
    <row r="2" spans="1:7" x14ac:dyDescent="0.25">
      <c r="A2">
        <v>1</v>
      </c>
      <c r="B2">
        <v>0</v>
      </c>
      <c r="C2">
        <v>0</v>
      </c>
      <c r="D2">
        <v>100</v>
      </c>
      <c r="E2">
        <v>0.1</v>
      </c>
      <c r="F2">
        <v>0</v>
      </c>
      <c r="G2">
        <v>0</v>
      </c>
    </row>
    <row r="3" spans="1:7" x14ac:dyDescent="0.25">
      <c r="A3">
        <v>1</v>
      </c>
      <c r="B3">
        <v>1</v>
      </c>
      <c r="C3">
        <v>1</v>
      </c>
      <c r="D3">
        <v>100.5</v>
      </c>
      <c r="E3">
        <v>0.10050000000000001</v>
      </c>
      <c r="F3">
        <v>100</v>
      </c>
      <c r="G3">
        <v>0</v>
      </c>
    </row>
    <row r="4" spans="1:7" x14ac:dyDescent="0.25">
      <c r="A4">
        <v>1</v>
      </c>
      <c r="B4">
        <v>2</v>
      </c>
      <c r="C4">
        <v>2</v>
      </c>
      <c r="D4">
        <v>102.00000000000001</v>
      </c>
      <c r="E4">
        <v>0.10200000000000001</v>
      </c>
      <c r="F4">
        <v>200</v>
      </c>
      <c r="G4">
        <v>0</v>
      </c>
    </row>
    <row r="5" spans="1:7" x14ac:dyDescent="0.25">
      <c r="A5">
        <v>1</v>
      </c>
      <c r="B5">
        <v>3</v>
      </c>
      <c r="C5">
        <v>3</v>
      </c>
      <c r="D5">
        <v>104.50000000000001</v>
      </c>
      <c r="E5">
        <v>0.10450000000000001</v>
      </c>
      <c r="F5">
        <v>300</v>
      </c>
      <c r="G5">
        <v>0</v>
      </c>
    </row>
    <row r="6" spans="1:7" x14ac:dyDescent="0.25">
      <c r="A6">
        <v>1</v>
      </c>
      <c r="B6">
        <v>4</v>
      </c>
      <c r="C6">
        <v>4</v>
      </c>
      <c r="D6">
        <v>108.00000000000001</v>
      </c>
      <c r="E6">
        <v>0.10800000000000001</v>
      </c>
      <c r="F6">
        <v>400</v>
      </c>
      <c r="G6">
        <v>0</v>
      </c>
    </row>
    <row r="7" spans="1:7" x14ac:dyDescent="0.25">
      <c r="A7">
        <v>1</v>
      </c>
      <c r="B7">
        <v>5</v>
      </c>
      <c r="C7">
        <v>5</v>
      </c>
      <c r="D7">
        <v>112.50000000000001</v>
      </c>
      <c r="E7">
        <v>0.11250000000000002</v>
      </c>
      <c r="F7">
        <v>500</v>
      </c>
      <c r="G7">
        <v>0</v>
      </c>
    </row>
    <row r="8" spans="1:7" x14ac:dyDescent="0.25">
      <c r="A8">
        <v>1</v>
      </c>
      <c r="B8">
        <v>6</v>
      </c>
      <c r="C8">
        <v>6</v>
      </c>
      <c r="D8">
        <v>118.00000000000003</v>
      </c>
      <c r="E8">
        <v>0.11800000000000002</v>
      </c>
      <c r="F8">
        <v>600</v>
      </c>
      <c r="G8">
        <v>0</v>
      </c>
    </row>
    <row r="9" spans="1:7" x14ac:dyDescent="0.25">
      <c r="A9">
        <v>1</v>
      </c>
      <c r="B9">
        <v>7</v>
      </c>
      <c r="C9">
        <v>7</v>
      </c>
      <c r="D9">
        <v>124.50000000000003</v>
      </c>
      <c r="E9">
        <v>0.12450000000000003</v>
      </c>
      <c r="F9">
        <v>700</v>
      </c>
      <c r="G9">
        <v>0</v>
      </c>
    </row>
    <row r="10" spans="1:7" x14ac:dyDescent="0.25">
      <c r="A10">
        <v>1</v>
      </c>
      <c r="B10">
        <v>8</v>
      </c>
      <c r="C10">
        <v>8</v>
      </c>
      <c r="D10">
        <v>132.00000000000003</v>
      </c>
      <c r="E10">
        <v>0.13200000000000003</v>
      </c>
      <c r="F10">
        <v>800</v>
      </c>
      <c r="G10">
        <v>0</v>
      </c>
    </row>
    <row r="11" spans="1:7" x14ac:dyDescent="0.25">
      <c r="A11">
        <v>1</v>
      </c>
      <c r="B11">
        <v>9</v>
      </c>
      <c r="C11">
        <v>9</v>
      </c>
      <c r="D11">
        <v>140.50000000000003</v>
      </c>
      <c r="E11">
        <v>0.14050000000000004</v>
      </c>
      <c r="F11">
        <v>900</v>
      </c>
      <c r="G11">
        <v>0</v>
      </c>
    </row>
    <row r="12" spans="1:7" x14ac:dyDescent="0.25">
      <c r="A12">
        <v>1</v>
      </c>
      <c r="B12">
        <v>10</v>
      </c>
      <c r="C12">
        <v>10</v>
      </c>
      <c r="D12">
        <v>150.00000000000006</v>
      </c>
      <c r="E12">
        <v>0.15000000000000005</v>
      </c>
      <c r="F12">
        <v>1000</v>
      </c>
      <c r="G12">
        <v>0</v>
      </c>
    </row>
    <row r="13" spans="1:7" x14ac:dyDescent="0.25">
      <c r="A13">
        <v>1</v>
      </c>
      <c r="B13">
        <v>11</v>
      </c>
      <c r="C13">
        <v>11</v>
      </c>
      <c r="D13">
        <v>160.50000000000006</v>
      </c>
      <c r="E13">
        <v>0.16050000000000006</v>
      </c>
      <c r="F13">
        <v>1100</v>
      </c>
      <c r="G13">
        <v>0</v>
      </c>
    </row>
    <row r="14" spans="1:7" x14ac:dyDescent="0.25">
      <c r="A14">
        <v>1</v>
      </c>
      <c r="B14">
        <v>12</v>
      </c>
      <c r="C14">
        <v>12</v>
      </c>
      <c r="D14">
        <v>172.00000000000006</v>
      </c>
      <c r="E14">
        <v>0.17200000000000007</v>
      </c>
      <c r="F14">
        <v>1200</v>
      </c>
      <c r="G14">
        <v>0</v>
      </c>
    </row>
    <row r="15" spans="1:7" x14ac:dyDescent="0.25">
      <c r="A15">
        <v>1</v>
      </c>
      <c r="B15">
        <v>13</v>
      </c>
      <c r="C15">
        <v>13</v>
      </c>
      <c r="D15">
        <v>184.50000000000009</v>
      </c>
      <c r="E15">
        <v>0.18450000000000008</v>
      </c>
      <c r="F15">
        <v>1300</v>
      </c>
      <c r="G15">
        <v>0</v>
      </c>
    </row>
    <row r="16" spans="1:7" x14ac:dyDescent="0.25">
      <c r="A16">
        <v>1</v>
      </c>
      <c r="B16">
        <v>14</v>
      </c>
      <c r="C16">
        <v>14</v>
      </c>
      <c r="D16">
        <v>198.00000000000009</v>
      </c>
      <c r="E16">
        <v>0.19800000000000009</v>
      </c>
      <c r="F16">
        <v>1400</v>
      </c>
      <c r="G16">
        <v>0</v>
      </c>
    </row>
    <row r="17" spans="1:7" x14ac:dyDescent="0.25">
      <c r="A17">
        <v>1</v>
      </c>
      <c r="B17">
        <v>15</v>
      </c>
      <c r="C17">
        <v>15</v>
      </c>
      <c r="D17">
        <v>212.50000000000011</v>
      </c>
      <c r="E17">
        <v>0.21250000000000011</v>
      </c>
      <c r="F17">
        <v>1500</v>
      </c>
      <c r="G17">
        <v>0</v>
      </c>
    </row>
    <row r="18" spans="1:7" x14ac:dyDescent="0.25">
      <c r="A18">
        <v>1</v>
      </c>
      <c r="B18">
        <v>16</v>
      </c>
      <c r="C18">
        <v>16</v>
      </c>
      <c r="D18">
        <v>228.00000000000009</v>
      </c>
      <c r="E18">
        <v>0.22800000000000009</v>
      </c>
      <c r="F18">
        <v>1600</v>
      </c>
      <c r="G18">
        <v>0</v>
      </c>
    </row>
    <row r="19" spans="1:7" x14ac:dyDescent="0.25">
      <c r="A19">
        <v>1</v>
      </c>
      <c r="B19">
        <v>17</v>
      </c>
      <c r="C19">
        <v>17</v>
      </c>
      <c r="D19">
        <v>244.50000000000011</v>
      </c>
      <c r="E19">
        <v>0.24450000000000011</v>
      </c>
      <c r="F19">
        <v>1700</v>
      </c>
      <c r="G19">
        <v>0</v>
      </c>
    </row>
    <row r="20" spans="1:7" x14ac:dyDescent="0.25">
      <c r="A20">
        <v>1</v>
      </c>
      <c r="B20">
        <v>18</v>
      </c>
      <c r="C20">
        <v>18</v>
      </c>
      <c r="D20">
        <v>262.00000000000011</v>
      </c>
      <c r="E20">
        <v>0.26200000000000012</v>
      </c>
      <c r="F20">
        <v>1800</v>
      </c>
      <c r="G20">
        <v>0</v>
      </c>
    </row>
    <row r="21" spans="1:7" x14ac:dyDescent="0.25">
      <c r="A21">
        <v>1</v>
      </c>
      <c r="B21">
        <v>19</v>
      </c>
      <c r="C21">
        <v>19</v>
      </c>
      <c r="D21">
        <v>280.50000000000011</v>
      </c>
      <c r="E21">
        <v>0.28050000000000014</v>
      </c>
      <c r="F21">
        <v>1900</v>
      </c>
      <c r="G21">
        <v>0</v>
      </c>
    </row>
    <row r="22" spans="1:7" x14ac:dyDescent="0.25">
      <c r="A22">
        <v>1</v>
      </c>
      <c r="B22">
        <v>20</v>
      </c>
      <c r="C22">
        <v>20</v>
      </c>
      <c r="D22">
        <v>300.00000000000017</v>
      </c>
      <c r="E22">
        <v>0.30000000000000016</v>
      </c>
      <c r="F22">
        <v>2000</v>
      </c>
      <c r="G22">
        <v>0</v>
      </c>
    </row>
    <row r="23" spans="1:7" x14ac:dyDescent="0.25">
      <c r="A23">
        <v>1</v>
      </c>
      <c r="B23">
        <v>21</v>
      </c>
      <c r="C23">
        <v>21</v>
      </c>
      <c r="D23">
        <v>320.50000000000017</v>
      </c>
      <c r="E23">
        <v>0.32050000000000017</v>
      </c>
      <c r="F23">
        <v>2100</v>
      </c>
      <c r="G23">
        <v>0</v>
      </c>
    </row>
    <row r="24" spans="1:7" x14ac:dyDescent="0.25">
      <c r="A24">
        <v>1</v>
      </c>
      <c r="B24">
        <v>22</v>
      </c>
      <c r="C24">
        <v>22</v>
      </c>
      <c r="D24">
        <v>342.00000000000017</v>
      </c>
      <c r="E24">
        <v>0.34200000000000019</v>
      </c>
      <c r="F24">
        <v>2200</v>
      </c>
      <c r="G24">
        <v>0</v>
      </c>
    </row>
    <row r="25" spans="1:7" x14ac:dyDescent="0.25">
      <c r="A25">
        <v>1</v>
      </c>
      <c r="B25">
        <v>23</v>
      </c>
      <c r="C25">
        <v>23</v>
      </c>
      <c r="D25">
        <v>364.50000000000023</v>
      </c>
      <c r="E25">
        <v>0.36450000000000021</v>
      </c>
      <c r="F25">
        <v>2300</v>
      </c>
      <c r="G25">
        <v>0</v>
      </c>
    </row>
    <row r="26" spans="1:7" x14ac:dyDescent="0.25">
      <c r="A26">
        <v>1</v>
      </c>
      <c r="B26">
        <v>24</v>
      </c>
      <c r="C26">
        <v>24</v>
      </c>
      <c r="D26">
        <v>388.00000000000023</v>
      </c>
      <c r="E26">
        <v>0.38800000000000023</v>
      </c>
      <c r="F26">
        <v>2400</v>
      </c>
      <c r="G26">
        <v>0</v>
      </c>
    </row>
    <row r="27" spans="1:7" x14ac:dyDescent="0.25">
      <c r="A27">
        <v>0</v>
      </c>
      <c r="B27">
        <v>25</v>
      </c>
      <c r="C27">
        <v>25</v>
      </c>
      <c r="D27">
        <v>412.50000000000023</v>
      </c>
      <c r="E27">
        <v>0.41250000000000026</v>
      </c>
      <c r="F27">
        <v>0</v>
      </c>
      <c r="G27">
        <v>0</v>
      </c>
    </row>
    <row r="28" spans="1:7" x14ac:dyDescent="0.25">
      <c r="A28">
        <v>0</v>
      </c>
      <c r="B28">
        <v>26</v>
      </c>
      <c r="C28">
        <v>25</v>
      </c>
      <c r="D28">
        <v>437.50000000000028</v>
      </c>
      <c r="E28">
        <v>0.43750000000000028</v>
      </c>
      <c r="F28">
        <v>0</v>
      </c>
      <c r="G28">
        <v>0</v>
      </c>
    </row>
    <row r="29" spans="1:7" x14ac:dyDescent="0.25">
      <c r="A29">
        <v>0</v>
      </c>
      <c r="B29">
        <v>27</v>
      </c>
      <c r="C29">
        <v>25</v>
      </c>
      <c r="D29">
        <v>462.50000000000028</v>
      </c>
      <c r="E29">
        <v>0.4625000000000003</v>
      </c>
      <c r="F29">
        <v>0</v>
      </c>
      <c r="G29">
        <v>0</v>
      </c>
    </row>
    <row r="30" spans="1:7" x14ac:dyDescent="0.25">
      <c r="A30">
        <v>0</v>
      </c>
      <c r="B30">
        <v>28</v>
      </c>
      <c r="C30">
        <v>25</v>
      </c>
      <c r="D30">
        <v>487.50000000000034</v>
      </c>
      <c r="E30">
        <v>0.48750000000000032</v>
      </c>
      <c r="F30">
        <v>0</v>
      </c>
      <c r="G30">
        <v>0</v>
      </c>
    </row>
    <row r="31" spans="1:7" x14ac:dyDescent="0.25">
      <c r="A31">
        <v>0</v>
      </c>
      <c r="B31">
        <v>29</v>
      </c>
      <c r="C31">
        <v>25</v>
      </c>
      <c r="D31">
        <v>512.50000000000034</v>
      </c>
      <c r="E31">
        <v>0.51250000000000029</v>
      </c>
      <c r="F31">
        <v>0</v>
      </c>
      <c r="G31">
        <v>0</v>
      </c>
    </row>
    <row r="32" spans="1:7" x14ac:dyDescent="0.25">
      <c r="A32">
        <v>0</v>
      </c>
      <c r="B32">
        <v>30</v>
      </c>
      <c r="C32">
        <v>25</v>
      </c>
      <c r="D32">
        <v>537.50000000000034</v>
      </c>
      <c r="E32">
        <v>0.53750000000000031</v>
      </c>
      <c r="F32">
        <v>0</v>
      </c>
      <c r="G32">
        <v>0</v>
      </c>
    </row>
    <row r="33" spans="1:7" x14ac:dyDescent="0.25">
      <c r="A33">
        <v>0</v>
      </c>
      <c r="B33">
        <v>31</v>
      </c>
      <c r="C33">
        <v>25</v>
      </c>
      <c r="D33">
        <v>562.50000000000034</v>
      </c>
      <c r="E33">
        <v>0.56250000000000033</v>
      </c>
      <c r="F33">
        <v>0</v>
      </c>
      <c r="G33">
        <v>0</v>
      </c>
    </row>
    <row r="34" spans="1:7" x14ac:dyDescent="0.25">
      <c r="A34">
        <v>0</v>
      </c>
      <c r="B34">
        <v>32</v>
      </c>
      <c r="C34">
        <v>25</v>
      </c>
      <c r="D34">
        <v>587.50000000000034</v>
      </c>
      <c r="E34">
        <v>0.58750000000000036</v>
      </c>
      <c r="F34">
        <v>0</v>
      </c>
      <c r="G34">
        <v>0</v>
      </c>
    </row>
    <row r="35" spans="1:7" x14ac:dyDescent="0.25">
      <c r="A35">
        <v>0</v>
      </c>
      <c r="B35">
        <v>33</v>
      </c>
      <c r="C35">
        <v>25</v>
      </c>
      <c r="D35">
        <v>612.50000000000034</v>
      </c>
      <c r="E35">
        <v>0.61250000000000038</v>
      </c>
      <c r="F35">
        <v>0</v>
      </c>
      <c r="G35">
        <v>0</v>
      </c>
    </row>
    <row r="36" spans="1:7" x14ac:dyDescent="0.25">
      <c r="A36">
        <v>0</v>
      </c>
      <c r="B36">
        <v>34</v>
      </c>
      <c r="C36">
        <v>25</v>
      </c>
      <c r="D36">
        <v>637.50000000000045</v>
      </c>
      <c r="E36">
        <v>0.6375000000000004</v>
      </c>
      <c r="F36">
        <v>0</v>
      </c>
      <c r="G36">
        <v>0</v>
      </c>
    </row>
    <row r="37" spans="1:7" x14ac:dyDescent="0.25">
      <c r="A37">
        <v>0</v>
      </c>
      <c r="B37">
        <v>35</v>
      </c>
      <c r="C37">
        <v>25</v>
      </c>
      <c r="D37">
        <v>662.50000000000045</v>
      </c>
      <c r="E37">
        <v>0.66250000000000042</v>
      </c>
      <c r="F37">
        <v>0</v>
      </c>
      <c r="G37">
        <v>0</v>
      </c>
    </row>
    <row r="38" spans="1:7" x14ac:dyDescent="0.25">
      <c r="A38">
        <v>0</v>
      </c>
      <c r="B38">
        <v>36</v>
      </c>
      <c r="C38">
        <v>25</v>
      </c>
      <c r="D38">
        <v>687.50000000000045</v>
      </c>
      <c r="E38">
        <v>0.68750000000000044</v>
      </c>
      <c r="F38">
        <v>0</v>
      </c>
      <c r="G38">
        <v>0</v>
      </c>
    </row>
    <row r="39" spans="1:7" x14ac:dyDescent="0.25">
      <c r="A39">
        <v>0</v>
      </c>
      <c r="B39">
        <v>37</v>
      </c>
      <c r="C39">
        <v>25</v>
      </c>
      <c r="D39">
        <v>712.50000000000045</v>
      </c>
      <c r="E39">
        <v>0.71250000000000047</v>
      </c>
      <c r="F39">
        <v>0</v>
      </c>
      <c r="G39">
        <v>0</v>
      </c>
    </row>
    <row r="40" spans="1:7" x14ac:dyDescent="0.25">
      <c r="A40">
        <v>0</v>
      </c>
      <c r="B40">
        <v>38</v>
      </c>
      <c r="C40">
        <v>25</v>
      </c>
      <c r="D40">
        <v>737.50000000000045</v>
      </c>
      <c r="E40">
        <v>0.73750000000000049</v>
      </c>
      <c r="F40">
        <v>0</v>
      </c>
      <c r="G40">
        <v>0</v>
      </c>
    </row>
    <row r="41" spans="1:7" x14ac:dyDescent="0.25">
      <c r="A41">
        <v>0</v>
      </c>
      <c r="B41">
        <v>39</v>
      </c>
      <c r="C41">
        <v>25</v>
      </c>
      <c r="D41">
        <v>762.50000000000045</v>
      </c>
      <c r="E41">
        <v>0.76250000000000051</v>
      </c>
      <c r="F41">
        <v>0</v>
      </c>
      <c r="G41">
        <v>0</v>
      </c>
    </row>
    <row r="42" spans="1:7" x14ac:dyDescent="0.25">
      <c r="A42">
        <v>0</v>
      </c>
      <c r="B42">
        <v>40</v>
      </c>
      <c r="C42">
        <v>25</v>
      </c>
      <c r="D42">
        <v>787.50000000000057</v>
      </c>
      <c r="E42">
        <v>0.78750000000000053</v>
      </c>
      <c r="F42">
        <v>0</v>
      </c>
      <c r="G42">
        <v>0</v>
      </c>
    </row>
    <row r="43" spans="1:7" x14ac:dyDescent="0.25">
      <c r="A43">
        <v>0</v>
      </c>
      <c r="B43">
        <v>41</v>
      </c>
      <c r="C43">
        <v>25</v>
      </c>
      <c r="D43">
        <v>812.50000000000057</v>
      </c>
      <c r="E43">
        <v>0.81250000000000056</v>
      </c>
      <c r="F43">
        <v>0</v>
      </c>
      <c r="G43">
        <v>0</v>
      </c>
    </row>
    <row r="44" spans="1:7" x14ac:dyDescent="0.25">
      <c r="A44">
        <v>0</v>
      </c>
      <c r="B44">
        <v>42</v>
      </c>
      <c r="C44">
        <v>25</v>
      </c>
      <c r="D44">
        <v>837.50000000000057</v>
      </c>
      <c r="E44">
        <v>0.83750000000000058</v>
      </c>
      <c r="F44">
        <v>0</v>
      </c>
      <c r="G44">
        <v>0</v>
      </c>
    </row>
    <row r="45" spans="1:7" x14ac:dyDescent="0.25">
      <c r="A45">
        <v>0</v>
      </c>
      <c r="B45">
        <v>43</v>
      </c>
      <c r="C45">
        <v>25</v>
      </c>
      <c r="D45">
        <v>862.50000000000057</v>
      </c>
      <c r="E45">
        <v>0.8625000000000006</v>
      </c>
      <c r="F45">
        <v>0</v>
      </c>
      <c r="G45">
        <v>0</v>
      </c>
    </row>
    <row r="46" spans="1:7" x14ac:dyDescent="0.25">
      <c r="A46">
        <v>0</v>
      </c>
      <c r="B46">
        <v>44</v>
      </c>
      <c r="C46">
        <v>25</v>
      </c>
      <c r="D46">
        <v>887.50000000000057</v>
      </c>
      <c r="E46">
        <v>0.88750000000000062</v>
      </c>
      <c r="F46">
        <v>0</v>
      </c>
      <c r="G46">
        <v>0</v>
      </c>
    </row>
    <row r="47" spans="1:7" x14ac:dyDescent="0.25">
      <c r="A47">
        <v>0</v>
      </c>
      <c r="B47">
        <v>45</v>
      </c>
      <c r="C47">
        <v>25</v>
      </c>
      <c r="D47">
        <v>912.50000000000068</v>
      </c>
      <c r="E47">
        <v>0.91250000000000064</v>
      </c>
      <c r="F47">
        <v>0</v>
      </c>
      <c r="G47">
        <v>0</v>
      </c>
    </row>
    <row r="48" spans="1:7" x14ac:dyDescent="0.25">
      <c r="A48">
        <v>0</v>
      </c>
      <c r="B48">
        <v>46</v>
      </c>
      <c r="C48">
        <v>25</v>
      </c>
      <c r="D48">
        <v>937.50000000000068</v>
      </c>
      <c r="E48">
        <v>0.93750000000000067</v>
      </c>
      <c r="F48">
        <v>0</v>
      </c>
      <c r="G48">
        <v>0</v>
      </c>
    </row>
    <row r="49" spans="1:7" x14ac:dyDescent="0.25">
      <c r="A49">
        <v>0</v>
      </c>
      <c r="B49">
        <v>47</v>
      </c>
      <c r="C49">
        <v>25</v>
      </c>
      <c r="D49">
        <v>962.50000000000068</v>
      </c>
      <c r="E49">
        <v>0.96250000000000069</v>
      </c>
      <c r="F49">
        <v>0</v>
      </c>
      <c r="G49">
        <v>0</v>
      </c>
    </row>
    <row r="50" spans="1:7" x14ac:dyDescent="0.25">
      <c r="A50">
        <v>0</v>
      </c>
      <c r="B50">
        <v>48</v>
      </c>
      <c r="C50">
        <v>25</v>
      </c>
      <c r="D50">
        <v>987.50000000000068</v>
      </c>
      <c r="E50">
        <v>0.98750000000000071</v>
      </c>
      <c r="F50">
        <v>0</v>
      </c>
      <c r="G50">
        <v>0</v>
      </c>
    </row>
    <row r="51" spans="1:7" x14ac:dyDescent="0.25">
      <c r="A51">
        <v>0</v>
      </c>
      <c r="B51">
        <v>49</v>
      </c>
      <c r="C51">
        <v>25</v>
      </c>
      <c r="D51">
        <v>1012.5000000000006</v>
      </c>
      <c r="E51">
        <v>1.0125000000000006</v>
      </c>
      <c r="F51">
        <v>0</v>
      </c>
      <c r="G51">
        <v>0</v>
      </c>
    </row>
    <row r="52" spans="1:7" x14ac:dyDescent="0.25">
      <c r="A52">
        <v>0</v>
      </c>
      <c r="B52">
        <v>50</v>
      </c>
      <c r="C52">
        <v>25</v>
      </c>
      <c r="D52">
        <v>1037.5000000000005</v>
      </c>
      <c r="E52">
        <v>1.0375000000000005</v>
      </c>
      <c r="F52">
        <v>0</v>
      </c>
      <c r="G52">
        <v>0</v>
      </c>
    </row>
    <row r="53" spans="1:7" x14ac:dyDescent="0.25">
      <c r="A53">
        <v>0</v>
      </c>
      <c r="B53">
        <v>51</v>
      </c>
      <c r="C53">
        <v>25</v>
      </c>
      <c r="D53">
        <v>1062.5000000000005</v>
      </c>
      <c r="E53">
        <v>1.0625000000000004</v>
      </c>
      <c r="F53">
        <v>0</v>
      </c>
      <c r="G53">
        <v>0</v>
      </c>
    </row>
    <row r="54" spans="1:7" x14ac:dyDescent="0.25">
      <c r="A54">
        <v>0</v>
      </c>
      <c r="B54">
        <v>52</v>
      </c>
      <c r="C54">
        <v>25</v>
      </c>
      <c r="D54">
        <v>1087.5000000000005</v>
      </c>
      <c r="E54">
        <v>1.0875000000000004</v>
      </c>
      <c r="F54">
        <v>0</v>
      </c>
      <c r="G54">
        <v>0</v>
      </c>
    </row>
    <row r="55" spans="1:7" x14ac:dyDescent="0.25">
      <c r="A55">
        <v>0</v>
      </c>
      <c r="B55">
        <v>53</v>
      </c>
      <c r="C55">
        <v>25</v>
      </c>
      <c r="D55">
        <v>1112.5000000000002</v>
      </c>
      <c r="E55">
        <v>1.1125000000000003</v>
      </c>
      <c r="F55">
        <v>0</v>
      </c>
      <c r="G55">
        <v>0</v>
      </c>
    </row>
    <row r="56" spans="1:7" x14ac:dyDescent="0.25">
      <c r="A56">
        <v>0</v>
      </c>
      <c r="B56">
        <v>54</v>
      </c>
      <c r="C56">
        <v>25</v>
      </c>
      <c r="D56">
        <v>1137.5000000000002</v>
      </c>
      <c r="E56">
        <v>1.1375000000000002</v>
      </c>
      <c r="F56">
        <v>0</v>
      </c>
      <c r="G56">
        <v>0</v>
      </c>
    </row>
    <row r="57" spans="1:7" x14ac:dyDescent="0.25">
      <c r="A57">
        <v>0</v>
      </c>
      <c r="B57">
        <v>55</v>
      </c>
      <c r="C57">
        <v>25</v>
      </c>
      <c r="D57">
        <v>1162.5</v>
      </c>
      <c r="E57">
        <v>1.1625000000000001</v>
      </c>
      <c r="F57">
        <v>0</v>
      </c>
      <c r="G57">
        <v>0</v>
      </c>
    </row>
    <row r="58" spans="1:7" x14ac:dyDescent="0.25">
      <c r="A58">
        <v>0</v>
      </c>
      <c r="B58">
        <v>56</v>
      </c>
      <c r="C58">
        <v>25</v>
      </c>
      <c r="D58">
        <v>1187.5</v>
      </c>
      <c r="E58">
        <v>1.1875</v>
      </c>
      <c r="F58">
        <v>0</v>
      </c>
      <c r="G58">
        <v>0</v>
      </c>
    </row>
    <row r="59" spans="1:7" x14ac:dyDescent="0.25">
      <c r="A59">
        <v>0</v>
      </c>
      <c r="B59">
        <v>57</v>
      </c>
      <c r="C59">
        <v>25</v>
      </c>
      <c r="D59">
        <v>1212.5</v>
      </c>
      <c r="E59">
        <v>1.2124999999999999</v>
      </c>
      <c r="F59">
        <v>0</v>
      </c>
      <c r="G59">
        <v>0</v>
      </c>
    </row>
    <row r="60" spans="1:7" x14ac:dyDescent="0.25">
      <c r="A60">
        <v>0</v>
      </c>
      <c r="B60">
        <v>58</v>
      </c>
      <c r="C60">
        <v>25</v>
      </c>
      <c r="D60">
        <v>1237.4999999999998</v>
      </c>
      <c r="E60">
        <v>1.2374999999999998</v>
      </c>
      <c r="F60">
        <v>0</v>
      </c>
      <c r="G60">
        <v>0</v>
      </c>
    </row>
    <row r="61" spans="1:7" x14ac:dyDescent="0.25">
      <c r="A61">
        <v>0</v>
      </c>
      <c r="B61">
        <v>59</v>
      </c>
      <c r="C61">
        <v>25</v>
      </c>
      <c r="D61">
        <v>1262.4999999999998</v>
      </c>
      <c r="E61">
        <v>1.2624999999999997</v>
      </c>
      <c r="F61">
        <v>0</v>
      </c>
      <c r="G61">
        <v>0</v>
      </c>
    </row>
    <row r="62" spans="1:7" x14ac:dyDescent="0.25">
      <c r="A62">
        <v>0</v>
      </c>
      <c r="B62">
        <v>60</v>
      </c>
      <c r="C62">
        <v>25</v>
      </c>
      <c r="D62">
        <v>1287.4999999999995</v>
      </c>
      <c r="E62">
        <v>1.2874999999999996</v>
      </c>
      <c r="F62">
        <v>0</v>
      </c>
      <c r="G62">
        <v>0</v>
      </c>
    </row>
    <row r="63" spans="1:7" x14ac:dyDescent="0.25">
      <c r="A63">
        <v>0</v>
      </c>
      <c r="B63">
        <v>61</v>
      </c>
      <c r="C63">
        <v>25</v>
      </c>
      <c r="D63">
        <v>1312.4999999999995</v>
      </c>
      <c r="E63">
        <v>1.3124999999999996</v>
      </c>
      <c r="F63">
        <v>0</v>
      </c>
      <c r="G63">
        <v>0</v>
      </c>
    </row>
    <row r="64" spans="1:7" x14ac:dyDescent="0.25">
      <c r="A64">
        <v>0</v>
      </c>
      <c r="B64">
        <v>62</v>
      </c>
      <c r="C64">
        <v>25</v>
      </c>
      <c r="D64">
        <v>1337.4999999999995</v>
      </c>
      <c r="E64">
        <v>1.3374999999999995</v>
      </c>
      <c r="F64">
        <v>0</v>
      </c>
      <c r="G64">
        <v>0</v>
      </c>
    </row>
    <row r="65" spans="1:7" x14ac:dyDescent="0.25">
      <c r="A65">
        <v>0</v>
      </c>
      <c r="B65">
        <v>63</v>
      </c>
      <c r="C65">
        <v>25</v>
      </c>
      <c r="D65">
        <v>1362.4999999999993</v>
      </c>
      <c r="E65">
        <v>1.3624999999999994</v>
      </c>
      <c r="F65">
        <v>0</v>
      </c>
      <c r="G65">
        <v>0</v>
      </c>
    </row>
    <row r="66" spans="1:7" x14ac:dyDescent="0.25">
      <c r="A66">
        <v>0</v>
      </c>
      <c r="B66">
        <v>64</v>
      </c>
      <c r="C66">
        <v>25</v>
      </c>
      <c r="D66">
        <v>1387.4999999999993</v>
      </c>
      <c r="E66">
        <v>1.3874999999999993</v>
      </c>
      <c r="F66">
        <v>0</v>
      </c>
      <c r="G66">
        <v>0</v>
      </c>
    </row>
    <row r="67" spans="1:7" x14ac:dyDescent="0.25">
      <c r="A67">
        <v>0</v>
      </c>
      <c r="B67">
        <v>65</v>
      </c>
      <c r="C67">
        <v>25</v>
      </c>
      <c r="D67">
        <v>1412.4999999999991</v>
      </c>
      <c r="E67">
        <v>1.4124999999999992</v>
      </c>
      <c r="F67">
        <v>0</v>
      </c>
      <c r="G67">
        <v>0</v>
      </c>
    </row>
    <row r="68" spans="1:7" x14ac:dyDescent="0.25">
      <c r="A68">
        <v>0</v>
      </c>
      <c r="B68">
        <v>66</v>
      </c>
      <c r="C68">
        <v>25</v>
      </c>
      <c r="D68">
        <v>1437.4999999999991</v>
      </c>
      <c r="E68">
        <v>1.4374999999999991</v>
      </c>
      <c r="F68">
        <v>0</v>
      </c>
      <c r="G68">
        <v>0</v>
      </c>
    </row>
    <row r="69" spans="1:7" x14ac:dyDescent="0.25">
      <c r="A69">
        <v>0</v>
      </c>
      <c r="B69">
        <v>67</v>
      </c>
      <c r="C69">
        <v>25</v>
      </c>
      <c r="D69">
        <v>1462.4999999999991</v>
      </c>
      <c r="E69">
        <v>1.462499999999999</v>
      </c>
      <c r="F69">
        <v>0</v>
      </c>
      <c r="G69">
        <v>0</v>
      </c>
    </row>
    <row r="70" spans="1:7" x14ac:dyDescent="0.25">
      <c r="A70">
        <v>0</v>
      </c>
      <c r="B70">
        <v>68</v>
      </c>
      <c r="C70">
        <v>25</v>
      </c>
      <c r="D70">
        <v>1487.4999999999989</v>
      </c>
      <c r="E70">
        <v>1.4874999999999989</v>
      </c>
      <c r="F70">
        <v>0</v>
      </c>
      <c r="G70">
        <v>0</v>
      </c>
    </row>
    <row r="71" spans="1:7" x14ac:dyDescent="0.25">
      <c r="A71">
        <v>0</v>
      </c>
      <c r="B71">
        <v>69</v>
      </c>
      <c r="C71">
        <v>25</v>
      </c>
      <c r="D71">
        <v>1512.4999999999989</v>
      </c>
      <c r="E71">
        <v>1.5124999999999988</v>
      </c>
      <c r="F71">
        <v>0</v>
      </c>
      <c r="G71">
        <v>0</v>
      </c>
    </row>
    <row r="72" spans="1:7" x14ac:dyDescent="0.25">
      <c r="A72">
        <v>0</v>
      </c>
      <c r="B72">
        <v>70</v>
      </c>
      <c r="C72">
        <v>25</v>
      </c>
      <c r="D72">
        <v>1537.4999999999989</v>
      </c>
      <c r="E72">
        <v>1.5374999999999988</v>
      </c>
      <c r="F72">
        <v>0</v>
      </c>
      <c r="G72">
        <v>0</v>
      </c>
    </row>
    <row r="73" spans="1:7" x14ac:dyDescent="0.25">
      <c r="A73">
        <v>0</v>
      </c>
      <c r="B73">
        <v>71</v>
      </c>
      <c r="C73">
        <v>25</v>
      </c>
      <c r="D73">
        <v>1562.4999999999986</v>
      </c>
      <c r="E73">
        <v>1.5624999999999987</v>
      </c>
      <c r="F73">
        <v>0</v>
      </c>
      <c r="G73">
        <v>0</v>
      </c>
    </row>
    <row r="74" spans="1:7" x14ac:dyDescent="0.25">
      <c r="A74">
        <v>0</v>
      </c>
      <c r="B74">
        <v>72</v>
      </c>
      <c r="C74">
        <v>25</v>
      </c>
      <c r="D74">
        <v>1587.4999999999986</v>
      </c>
      <c r="E74">
        <v>1.5874999999999986</v>
      </c>
      <c r="F74">
        <v>0</v>
      </c>
      <c r="G74">
        <v>0</v>
      </c>
    </row>
    <row r="75" spans="1:7" x14ac:dyDescent="0.25">
      <c r="A75">
        <v>0</v>
      </c>
      <c r="B75">
        <v>73</v>
      </c>
      <c r="C75">
        <v>25</v>
      </c>
      <c r="D75">
        <v>1612.4999999999984</v>
      </c>
      <c r="E75">
        <v>1.6124999999999985</v>
      </c>
      <c r="F75">
        <v>0</v>
      </c>
      <c r="G75">
        <v>0</v>
      </c>
    </row>
    <row r="76" spans="1:7" x14ac:dyDescent="0.25">
      <c r="A76">
        <v>0</v>
      </c>
      <c r="B76">
        <v>74</v>
      </c>
      <c r="C76">
        <v>25</v>
      </c>
      <c r="D76">
        <v>1637.4999999999984</v>
      </c>
      <c r="E76">
        <v>1.6374999999999984</v>
      </c>
      <c r="F76">
        <v>0</v>
      </c>
      <c r="G76">
        <v>0</v>
      </c>
    </row>
    <row r="77" spans="1:7" x14ac:dyDescent="0.25">
      <c r="A77">
        <v>0</v>
      </c>
      <c r="B77">
        <v>75</v>
      </c>
      <c r="C77">
        <v>25</v>
      </c>
      <c r="D77">
        <v>1662.4999999999984</v>
      </c>
      <c r="E77">
        <v>1.6624999999999983</v>
      </c>
      <c r="F77">
        <v>0</v>
      </c>
      <c r="G77">
        <v>0</v>
      </c>
    </row>
    <row r="78" spans="1:7" x14ac:dyDescent="0.25">
      <c r="A78">
        <v>0</v>
      </c>
      <c r="B78">
        <v>76</v>
      </c>
      <c r="C78">
        <v>25</v>
      </c>
      <c r="D78">
        <v>1687.4999999999982</v>
      </c>
      <c r="E78">
        <v>1.6874999999999982</v>
      </c>
      <c r="F78">
        <v>0</v>
      </c>
      <c r="G78">
        <v>0</v>
      </c>
    </row>
    <row r="79" spans="1:7" x14ac:dyDescent="0.25">
      <c r="A79">
        <v>0</v>
      </c>
      <c r="B79">
        <v>77</v>
      </c>
      <c r="C79">
        <v>25</v>
      </c>
      <c r="D79">
        <v>1712.4999999999982</v>
      </c>
      <c r="E79">
        <v>1.7124999999999981</v>
      </c>
      <c r="F79">
        <v>0</v>
      </c>
      <c r="G79">
        <v>0</v>
      </c>
    </row>
    <row r="80" spans="1:7" x14ac:dyDescent="0.25">
      <c r="A80">
        <v>0</v>
      </c>
      <c r="B80">
        <v>78</v>
      </c>
      <c r="C80">
        <v>25</v>
      </c>
      <c r="D80">
        <v>1737.499999999998</v>
      </c>
      <c r="E80">
        <v>1.737499999999998</v>
      </c>
      <c r="F80">
        <v>0</v>
      </c>
      <c r="G80">
        <v>0</v>
      </c>
    </row>
    <row r="81" spans="1:7" x14ac:dyDescent="0.25">
      <c r="A81">
        <v>-1</v>
      </c>
      <c r="B81">
        <v>79</v>
      </c>
      <c r="C81">
        <v>25</v>
      </c>
      <c r="D81">
        <v>1762.499999999998</v>
      </c>
      <c r="E81">
        <v>1.762499999999998</v>
      </c>
      <c r="F81">
        <v>0</v>
      </c>
      <c r="G81">
        <v>-2500</v>
      </c>
    </row>
    <row r="82" spans="1:7" x14ac:dyDescent="0.25">
      <c r="A82">
        <v>-1</v>
      </c>
      <c r="B82">
        <v>80</v>
      </c>
      <c r="C82">
        <v>24</v>
      </c>
      <c r="D82">
        <v>1786.999999999998</v>
      </c>
      <c r="E82">
        <v>1.7869999999999979</v>
      </c>
      <c r="F82">
        <v>0</v>
      </c>
      <c r="G82">
        <v>-2400</v>
      </c>
    </row>
    <row r="83" spans="1:7" x14ac:dyDescent="0.25">
      <c r="A83">
        <v>-1</v>
      </c>
      <c r="B83">
        <v>81</v>
      </c>
      <c r="C83">
        <v>23</v>
      </c>
      <c r="D83">
        <v>1810.499999999998</v>
      </c>
      <c r="E83">
        <v>1.810499999999998</v>
      </c>
      <c r="F83">
        <v>0</v>
      </c>
      <c r="G83">
        <v>-2300</v>
      </c>
    </row>
    <row r="84" spans="1:7" x14ac:dyDescent="0.25">
      <c r="A84">
        <v>-1</v>
      </c>
      <c r="B84">
        <v>82</v>
      </c>
      <c r="C84">
        <v>22</v>
      </c>
      <c r="D84">
        <v>1832.999999999998</v>
      </c>
      <c r="E84">
        <v>1.832999999999998</v>
      </c>
      <c r="F84">
        <v>0</v>
      </c>
      <c r="G84">
        <v>-2200</v>
      </c>
    </row>
    <row r="85" spans="1:7" x14ac:dyDescent="0.25">
      <c r="A85">
        <v>-1</v>
      </c>
      <c r="B85">
        <v>83</v>
      </c>
      <c r="C85">
        <v>21</v>
      </c>
      <c r="D85">
        <v>1854.499999999998</v>
      </c>
      <c r="E85">
        <v>1.854499999999998</v>
      </c>
      <c r="F85">
        <v>0</v>
      </c>
      <c r="G85">
        <v>-2100</v>
      </c>
    </row>
    <row r="86" spans="1:7" x14ac:dyDescent="0.25">
      <c r="A86">
        <v>-1</v>
      </c>
      <c r="B86">
        <v>84</v>
      </c>
      <c r="C86">
        <v>20</v>
      </c>
      <c r="D86">
        <v>1874.999999999998</v>
      </c>
      <c r="E86">
        <v>1.874999999999998</v>
      </c>
      <c r="F86">
        <v>0</v>
      </c>
      <c r="G86">
        <v>-2000</v>
      </c>
    </row>
    <row r="87" spans="1:7" x14ac:dyDescent="0.25">
      <c r="A87">
        <v>-1</v>
      </c>
      <c r="B87">
        <v>85</v>
      </c>
      <c r="C87">
        <v>19</v>
      </c>
      <c r="D87">
        <v>1894.4999999999982</v>
      </c>
      <c r="E87">
        <v>1.8944999999999981</v>
      </c>
      <c r="F87">
        <v>0</v>
      </c>
      <c r="G87">
        <v>-1900</v>
      </c>
    </row>
    <row r="88" spans="1:7" x14ac:dyDescent="0.25">
      <c r="A88">
        <v>-1</v>
      </c>
      <c r="B88">
        <v>86</v>
      </c>
      <c r="C88">
        <v>18</v>
      </c>
      <c r="D88">
        <v>1912.999999999998</v>
      </c>
      <c r="E88">
        <v>1.912999999999998</v>
      </c>
      <c r="F88">
        <v>0</v>
      </c>
      <c r="G88">
        <v>-1800</v>
      </c>
    </row>
    <row r="89" spans="1:7" x14ac:dyDescent="0.25">
      <c r="A89">
        <v>-1</v>
      </c>
      <c r="B89">
        <v>87</v>
      </c>
      <c r="C89">
        <v>17</v>
      </c>
      <c r="D89">
        <v>1930.4999999999982</v>
      </c>
      <c r="E89">
        <v>1.9304999999999981</v>
      </c>
      <c r="F89">
        <v>0</v>
      </c>
      <c r="G89">
        <v>-1700</v>
      </c>
    </row>
    <row r="90" spans="1:7" x14ac:dyDescent="0.25">
      <c r="A90">
        <v>-1</v>
      </c>
      <c r="B90">
        <v>88</v>
      </c>
      <c r="C90">
        <v>16</v>
      </c>
      <c r="D90">
        <v>1946.999999999998</v>
      </c>
      <c r="E90">
        <v>1.9469999999999981</v>
      </c>
      <c r="F90">
        <v>0</v>
      </c>
      <c r="G90">
        <v>-1600</v>
      </c>
    </row>
    <row r="91" spans="1:7" x14ac:dyDescent="0.25">
      <c r="A91">
        <v>-1</v>
      </c>
      <c r="B91">
        <v>89</v>
      </c>
      <c r="C91">
        <v>15</v>
      </c>
      <c r="D91">
        <v>1962.4999999999982</v>
      </c>
      <c r="E91">
        <v>1.9624999999999981</v>
      </c>
      <c r="F91">
        <v>0</v>
      </c>
      <c r="G91">
        <v>-1500</v>
      </c>
    </row>
    <row r="92" spans="1:7" x14ac:dyDescent="0.25">
      <c r="A92">
        <v>-1</v>
      </c>
      <c r="B92">
        <v>90</v>
      </c>
      <c r="C92">
        <v>14</v>
      </c>
      <c r="D92">
        <v>1976.9999999999982</v>
      </c>
      <c r="E92">
        <v>1.9769999999999981</v>
      </c>
      <c r="F92">
        <v>0</v>
      </c>
      <c r="G92">
        <v>-1400</v>
      </c>
    </row>
    <row r="93" spans="1:7" x14ac:dyDescent="0.25">
      <c r="A93">
        <v>-1</v>
      </c>
      <c r="B93">
        <v>91</v>
      </c>
      <c r="C93">
        <v>13</v>
      </c>
      <c r="D93">
        <v>1990.4999999999982</v>
      </c>
      <c r="E93">
        <v>1.9904999999999982</v>
      </c>
      <c r="F93">
        <v>0</v>
      </c>
      <c r="G93">
        <v>-1300</v>
      </c>
    </row>
    <row r="94" spans="1:7" x14ac:dyDescent="0.25">
      <c r="A94">
        <v>-1</v>
      </c>
      <c r="B94">
        <v>92</v>
      </c>
      <c r="C94">
        <v>12</v>
      </c>
      <c r="D94">
        <v>2002.9999999999984</v>
      </c>
      <c r="E94">
        <v>2.0029999999999983</v>
      </c>
      <c r="F94">
        <v>0</v>
      </c>
      <c r="G94">
        <v>-1200</v>
      </c>
    </row>
    <row r="95" spans="1:7" x14ac:dyDescent="0.25">
      <c r="A95">
        <v>-1</v>
      </c>
      <c r="B95">
        <v>93</v>
      </c>
      <c r="C95">
        <v>11</v>
      </c>
      <c r="D95">
        <v>2014.4999999999982</v>
      </c>
      <c r="E95">
        <v>2.0144999999999982</v>
      </c>
      <c r="F95">
        <v>0</v>
      </c>
      <c r="G95">
        <v>-1100</v>
      </c>
    </row>
    <row r="96" spans="1:7" x14ac:dyDescent="0.25">
      <c r="A96">
        <v>-1</v>
      </c>
      <c r="B96">
        <v>94</v>
      </c>
      <c r="C96">
        <v>10</v>
      </c>
      <c r="D96">
        <v>2024.9999999999982</v>
      </c>
      <c r="E96">
        <v>2.0249999999999981</v>
      </c>
      <c r="F96">
        <v>0</v>
      </c>
      <c r="G96">
        <v>-1000</v>
      </c>
    </row>
    <row r="97" spans="1:7" x14ac:dyDescent="0.25">
      <c r="A97">
        <v>-1</v>
      </c>
      <c r="B97">
        <v>95</v>
      </c>
      <c r="C97">
        <v>9</v>
      </c>
      <c r="D97">
        <v>2034.4999999999982</v>
      </c>
      <c r="E97">
        <v>2.0344999999999982</v>
      </c>
      <c r="F97">
        <v>0</v>
      </c>
      <c r="G97">
        <v>-900</v>
      </c>
    </row>
    <row r="98" spans="1:7" x14ac:dyDescent="0.25">
      <c r="A98">
        <v>-1</v>
      </c>
      <c r="B98">
        <v>96</v>
      </c>
      <c r="C98">
        <v>8</v>
      </c>
      <c r="D98">
        <v>2042.9999999999984</v>
      </c>
      <c r="E98">
        <v>2.0429999999999984</v>
      </c>
      <c r="F98">
        <v>0</v>
      </c>
      <c r="G98">
        <v>-800</v>
      </c>
    </row>
    <row r="99" spans="1:7" x14ac:dyDescent="0.25">
      <c r="A99">
        <v>-1</v>
      </c>
      <c r="B99">
        <v>97</v>
      </c>
      <c r="C99">
        <v>7</v>
      </c>
      <c r="D99">
        <v>2050.4999999999982</v>
      </c>
      <c r="E99">
        <v>2.0504999999999982</v>
      </c>
      <c r="F99">
        <v>0</v>
      </c>
      <c r="G99">
        <v>-700</v>
      </c>
    </row>
    <row r="100" spans="1:7" x14ac:dyDescent="0.25">
      <c r="A100">
        <v>-1</v>
      </c>
      <c r="B100">
        <v>98</v>
      </c>
      <c r="C100">
        <v>6</v>
      </c>
      <c r="D100">
        <v>2056.9999999999982</v>
      </c>
      <c r="E100">
        <v>2.0569999999999982</v>
      </c>
      <c r="F100">
        <v>0</v>
      </c>
      <c r="G100">
        <v>-600</v>
      </c>
    </row>
    <row r="101" spans="1:7" x14ac:dyDescent="0.25">
      <c r="A101">
        <v>-1</v>
      </c>
      <c r="B101">
        <v>99</v>
      </c>
      <c r="C101">
        <v>5</v>
      </c>
      <c r="D101">
        <v>2062.4999999999982</v>
      </c>
      <c r="E101">
        <v>2.0624999999999982</v>
      </c>
      <c r="F101">
        <v>0</v>
      </c>
      <c r="G101">
        <v>-500</v>
      </c>
    </row>
    <row r="102" spans="1:7" x14ac:dyDescent="0.25">
      <c r="A102">
        <v>-1</v>
      </c>
      <c r="B102">
        <v>100</v>
      </c>
      <c r="C102">
        <v>4</v>
      </c>
      <c r="D102">
        <v>2066.9999999999982</v>
      </c>
      <c r="E102">
        <v>2.0669999999999984</v>
      </c>
      <c r="F102">
        <v>0</v>
      </c>
      <c r="G102">
        <v>-400</v>
      </c>
    </row>
    <row r="103" spans="1:7" x14ac:dyDescent="0.25">
      <c r="A103">
        <v>-1</v>
      </c>
      <c r="B103">
        <v>101</v>
      </c>
      <c r="C103">
        <v>3</v>
      </c>
      <c r="D103">
        <v>2070.4999999999982</v>
      </c>
      <c r="E103">
        <v>2.0704999999999982</v>
      </c>
      <c r="F103">
        <v>0</v>
      </c>
      <c r="G103">
        <v>-300</v>
      </c>
    </row>
    <row r="104" spans="1:7" x14ac:dyDescent="0.25">
      <c r="A104">
        <v>-1</v>
      </c>
      <c r="B104">
        <v>102</v>
      </c>
      <c r="C104">
        <v>2</v>
      </c>
      <c r="D104">
        <v>2072.9999999999982</v>
      </c>
      <c r="E104">
        <v>2.0729999999999982</v>
      </c>
      <c r="F104">
        <v>0</v>
      </c>
      <c r="G104">
        <v>-200</v>
      </c>
    </row>
    <row r="105" spans="1:7" x14ac:dyDescent="0.25">
      <c r="A105">
        <v>-1</v>
      </c>
      <c r="B105">
        <v>103</v>
      </c>
      <c r="C105">
        <v>1</v>
      </c>
      <c r="D105">
        <v>2074.4999999999982</v>
      </c>
      <c r="E105">
        <v>2.0744999999999982</v>
      </c>
      <c r="F105">
        <v>0</v>
      </c>
      <c r="G105">
        <v>-100</v>
      </c>
    </row>
    <row r="106" spans="1:7" x14ac:dyDescent="0.25">
      <c r="A106">
        <v>-1</v>
      </c>
      <c r="B106">
        <v>104</v>
      </c>
      <c r="C106">
        <v>0</v>
      </c>
      <c r="D106">
        <v>2074.9999999999982</v>
      </c>
      <c r="E106">
        <v>2.0749999999999984</v>
      </c>
      <c r="F106">
        <v>0</v>
      </c>
      <c r="G10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BA655-99E0-47D3-BBFB-01BE997FBAC5}">
  <dimension ref="A1:T3"/>
  <sheetViews>
    <sheetView tabSelected="1" workbookViewId="0">
      <selection activeCell="K4" sqref="K4"/>
    </sheetView>
  </sheetViews>
  <sheetFormatPr defaultRowHeight="15" x14ac:dyDescent="0.25"/>
  <sheetData>
    <row r="1" spans="1:20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</row>
    <row r="2" spans="1:20" x14ac:dyDescent="0.25">
      <c r="A2">
        <v>0</v>
      </c>
      <c r="B2">
        <v>0</v>
      </c>
      <c r="C2">
        <f>D2/3.6</f>
        <v>22.222222222222221</v>
      </c>
      <c r="D2">
        <v>80</v>
      </c>
      <c r="E2">
        <v>0</v>
      </c>
      <c r="F2">
        <v>0</v>
      </c>
      <c r="G2">
        <v>1.7976931348623157E+308</v>
      </c>
      <c r="H2">
        <v>0</v>
      </c>
      <c r="I2" t="s">
        <v>27</v>
      </c>
      <c r="J2" t="s">
        <v>27</v>
      </c>
      <c r="K2">
        <v>1</v>
      </c>
      <c r="M2">
        <v>425</v>
      </c>
      <c r="N2">
        <v>0</v>
      </c>
      <c r="O2">
        <v>0</v>
      </c>
      <c r="P2" t="s">
        <v>26</v>
      </c>
      <c r="Q2" t="b">
        <v>0</v>
      </c>
      <c r="R2">
        <v>1.7976931348623157E+308</v>
      </c>
      <c r="S2">
        <v>-1</v>
      </c>
      <c r="T2">
        <v>-1</v>
      </c>
    </row>
    <row r="3" spans="1:20" x14ac:dyDescent="0.25">
      <c r="A3">
        <v>3000</v>
      </c>
      <c r="B3">
        <v>3</v>
      </c>
      <c r="C3">
        <f>D3/3.6</f>
        <v>22.222222222222221</v>
      </c>
      <c r="D3">
        <v>80</v>
      </c>
      <c r="E3">
        <v>0</v>
      </c>
      <c r="F3">
        <v>0</v>
      </c>
      <c r="G3">
        <v>1.7976931348623157E+308</v>
      </c>
      <c r="H3">
        <v>0</v>
      </c>
      <c r="I3" t="s">
        <v>27</v>
      </c>
      <c r="J3" t="s">
        <v>27</v>
      </c>
      <c r="K3">
        <v>1</v>
      </c>
      <c r="M3">
        <v>425</v>
      </c>
      <c r="N3">
        <v>3</v>
      </c>
      <c r="O3">
        <v>0</v>
      </c>
      <c r="P3" t="s">
        <v>26</v>
      </c>
      <c r="Q3" t="b">
        <v>0</v>
      </c>
      <c r="R3">
        <v>1.7976931348623157E+308</v>
      </c>
      <c r="S3">
        <v>-1</v>
      </c>
      <c r="T3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runFormel</vt:lpstr>
      <vt:lpstr>run</vt:lpstr>
      <vt:lpstr>track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Lagos</dc:creator>
  <cp:lastModifiedBy>Mario Lagos</cp:lastModifiedBy>
  <dcterms:created xsi:type="dcterms:W3CDTF">2025-08-19T21:58:51Z</dcterms:created>
  <dcterms:modified xsi:type="dcterms:W3CDTF">2026-08-06T17:24:33Z</dcterms:modified>
</cp:coreProperties>
</file>