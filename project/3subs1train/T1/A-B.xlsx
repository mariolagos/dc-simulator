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ols\dc-simulator\project\3subs1train\T1\"/>
    </mc:Choice>
  </mc:AlternateContent>
  <xr:revisionPtr revIDLastSave="0" documentId="13_ncr:1_{F22050E1-AA8E-473A-BA96-961058AA7D48}" xr6:coauthVersionLast="47" xr6:coauthVersionMax="47" xr10:uidLastSave="{00000000-0000-0000-0000-000000000000}"/>
  <bookViews>
    <workbookView xWindow="-120" yWindow="-120" windowWidth="29040" windowHeight="17025" xr2:uid="{ABD8D7A9-F49A-425C-BE6F-CA7411EF6D88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" i="1" l="1"/>
  <c r="D5" i="1"/>
  <c r="D6" i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D33" i="1" s="1"/>
  <c r="D34" i="1" s="1"/>
  <c r="D35" i="1" s="1"/>
  <c r="D36" i="1" s="1"/>
  <c r="D37" i="1" s="1"/>
  <c r="D38" i="1" s="1"/>
  <c r="D39" i="1" s="1"/>
  <c r="D40" i="1" s="1"/>
  <c r="D41" i="1" s="1"/>
  <c r="D42" i="1" s="1"/>
  <c r="D43" i="1" s="1"/>
  <c r="D44" i="1" s="1"/>
  <c r="D45" i="1" s="1"/>
  <c r="D46" i="1" s="1"/>
  <c r="D47" i="1" s="1"/>
  <c r="D48" i="1" s="1"/>
  <c r="D49" i="1" s="1"/>
  <c r="D50" i="1" s="1"/>
  <c r="D51" i="1" s="1"/>
  <c r="D52" i="1" s="1"/>
  <c r="D53" i="1" s="1"/>
  <c r="D54" i="1" s="1"/>
  <c r="D55" i="1" s="1"/>
  <c r="D56" i="1" s="1"/>
  <c r="D57" i="1" s="1"/>
  <c r="D58" i="1" s="1"/>
  <c r="D59" i="1" s="1"/>
  <c r="D60" i="1" s="1"/>
  <c r="D61" i="1" s="1"/>
  <c r="D62" i="1" s="1"/>
  <c r="D63" i="1" s="1"/>
  <c r="D64" i="1" s="1"/>
  <c r="D65" i="1" s="1"/>
  <c r="D66" i="1" s="1"/>
  <c r="D67" i="1" s="1"/>
  <c r="D68" i="1" s="1"/>
  <c r="D69" i="1" s="1"/>
  <c r="D70" i="1" s="1"/>
  <c r="D71" i="1" s="1"/>
  <c r="D72" i="1" s="1"/>
  <c r="D73" i="1" s="1"/>
  <c r="D74" i="1" s="1"/>
  <c r="D75" i="1" s="1"/>
  <c r="D76" i="1" s="1"/>
  <c r="D77" i="1" s="1"/>
  <c r="D78" i="1" s="1"/>
  <c r="D79" i="1" s="1"/>
  <c r="D80" i="1" s="1"/>
  <c r="D81" i="1" s="1"/>
  <c r="D82" i="1" s="1"/>
  <c r="D83" i="1" s="1"/>
  <c r="D84" i="1" s="1"/>
  <c r="D85" i="1" s="1"/>
  <c r="D86" i="1" s="1"/>
  <c r="D87" i="1" s="1"/>
  <c r="D88" i="1" s="1"/>
  <c r="D89" i="1" s="1"/>
  <c r="D90" i="1" s="1"/>
  <c r="D91" i="1" s="1"/>
  <c r="D92" i="1" s="1"/>
  <c r="D93" i="1" s="1"/>
  <c r="D94" i="1" s="1"/>
  <c r="D95" i="1" s="1"/>
  <c r="D96" i="1" s="1"/>
  <c r="D97" i="1" s="1"/>
  <c r="D98" i="1" s="1"/>
  <c r="D99" i="1" s="1"/>
  <c r="D100" i="1" s="1"/>
  <c r="D101" i="1" s="1"/>
  <c r="D102" i="1" s="1"/>
  <c r="D103" i="1" s="1"/>
  <c r="D104" i="1" s="1"/>
  <c r="D105" i="1" s="1"/>
  <c r="D106" i="1" s="1"/>
  <c r="D3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C67" i="1"/>
  <c r="C68" i="1" s="1"/>
  <c r="E67" i="1"/>
  <c r="F67" i="1"/>
  <c r="E68" i="1"/>
  <c r="F68" i="1"/>
  <c r="E69" i="1"/>
  <c r="F69" i="1"/>
  <c r="E70" i="1"/>
  <c r="F70" i="1"/>
  <c r="E71" i="1"/>
  <c r="F71" i="1"/>
  <c r="F66" i="1"/>
  <c r="E66" i="1"/>
  <c r="F65" i="1"/>
  <c r="E65" i="1"/>
  <c r="F64" i="1"/>
  <c r="E64" i="1"/>
  <c r="F63" i="1"/>
  <c r="E63" i="1"/>
  <c r="F62" i="1"/>
  <c r="E62" i="1"/>
  <c r="F61" i="1"/>
  <c r="E61" i="1"/>
  <c r="F60" i="1"/>
  <c r="E60" i="1"/>
  <c r="F59" i="1"/>
  <c r="E59" i="1"/>
  <c r="F58" i="1"/>
  <c r="E58" i="1"/>
  <c r="F57" i="1"/>
  <c r="E57" i="1"/>
  <c r="F56" i="1"/>
  <c r="E56" i="1"/>
  <c r="F55" i="1"/>
  <c r="E55" i="1"/>
  <c r="F54" i="1"/>
  <c r="E54" i="1"/>
  <c r="F53" i="1"/>
  <c r="E53" i="1"/>
  <c r="F52" i="1"/>
  <c r="E52" i="1"/>
  <c r="F51" i="1"/>
  <c r="E51" i="1"/>
  <c r="F50" i="1"/>
  <c r="E50" i="1"/>
  <c r="E101" i="1"/>
  <c r="E102" i="1"/>
  <c r="E103" i="1"/>
  <c r="E104" i="1"/>
  <c r="E105" i="1"/>
  <c r="E106" i="1"/>
  <c r="E99" i="1"/>
  <c r="E100" i="1"/>
  <c r="E92" i="1"/>
  <c r="E93" i="1"/>
  <c r="E94" i="1"/>
  <c r="E95" i="1"/>
  <c r="E96" i="1"/>
  <c r="E97" i="1"/>
  <c r="E98" i="1"/>
  <c r="E29" i="1"/>
  <c r="F29" i="1"/>
  <c r="E30" i="1"/>
  <c r="F30" i="1"/>
  <c r="E31" i="1"/>
  <c r="F31" i="1"/>
  <c r="E32" i="1"/>
  <c r="F32" i="1"/>
  <c r="E33" i="1"/>
  <c r="F33" i="1"/>
  <c r="E34" i="1"/>
  <c r="F34" i="1"/>
  <c r="E35" i="1"/>
  <c r="F35" i="1"/>
  <c r="E36" i="1"/>
  <c r="F36" i="1"/>
  <c r="E37" i="1"/>
  <c r="F37" i="1"/>
  <c r="E38" i="1"/>
  <c r="F38" i="1"/>
  <c r="E39" i="1"/>
  <c r="F39" i="1"/>
  <c r="E40" i="1"/>
  <c r="F40" i="1"/>
  <c r="E41" i="1"/>
  <c r="F41" i="1"/>
  <c r="E42" i="1"/>
  <c r="F42" i="1"/>
  <c r="E43" i="1"/>
  <c r="F43" i="1"/>
  <c r="E44" i="1"/>
  <c r="F44" i="1"/>
  <c r="E45" i="1"/>
  <c r="F45" i="1"/>
  <c r="F80" i="1"/>
  <c r="E80" i="1"/>
  <c r="F79" i="1"/>
  <c r="E79" i="1"/>
  <c r="F78" i="1"/>
  <c r="E78" i="1"/>
  <c r="F77" i="1"/>
  <c r="E77" i="1"/>
  <c r="F76" i="1"/>
  <c r="E76" i="1"/>
  <c r="F75" i="1"/>
  <c r="E75" i="1"/>
  <c r="F74" i="1"/>
  <c r="E74" i="1"/>
  <c r="F73" i="1"/>
  <c r="E73" i="1"/>
  <c r="F72" i="1"/>
  <c r="E72" i="1"/>
  <c r="F49" i="1"/>
  <c r="E49" i="1"/>
  <c r="F48" i="1"/>
  <c r="E48" i="1"/>
  <c r="F47" i="1"/>
  <c r="E47" i="1"/>
  <c r="F46" i="1"/>
  <c r="E46" i="1"/>
  <c r="E3" i="1"/>
  <c r="F3" i="1"/>
  <c r="E4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E27" i="1"/>
  <c r="F27" i="1"/>
  <c r="E28" i="1"/>
  <c r="F28" i="1"/>
  <c r="E81" i="1"/>
  <c r="E82" i="1"/>
  <c r="E83" i="1"/>
  <c r="E84" i="1"/>
  <c r="E85" i="1"/>
  <c r="E86" i="1"/>
  <c r="E87" i="1"/>
  <c r="E88" i="1"/>
  <c r="E89" i="1"/>
  <c r="E90" i="1"/>
  <c r="E91" i="1"/>
  <c r="E2" i="1"/>
  <c r="F2" i="1"/>
  <c r="C3" i="1"/>
  <c r="C4" i="1" s="1"/>
  <c r="C69" i="1" l="1"/>
  <c r="C70" i="1" s="1"/>
  <c r="C71" i="1" s="1"/>
  <c r="C5" i="1"/>
  <c r="E5" i="1" s="1"/>
  <c r="C6" i="1" l="1"/>
  <c r="E6" i="1" s="1"/>
  <c r="C7" i="1" l="1"/>
  <c r="E7" i="1" s="1"/>
  <c r="C8" i="1" l="1"/>
  <c r="E8" i="1" s="1"/>
  <c r="C9" i="1" l="1"/>
  <c r="E9" i="1" s="1"/>
  <c r="C10" i="1" l="1"/>
  <c r="E10" i="1" s="1"/>
  <c r="C11" i="1" l="1"/>
  <c r="E11" i="1" s="1"/>
  <c r="C12" i="1" l="1"/>
  <c r="E12" i="1" s="1"/>
  <c r="C13" i="1" l="1"/>
  <c r="E13" i="1" s="1"/>
  <c r="C14" i="1" l="1"/>
  <c r="E14" i="1" s="1"/>
  <c r="C15" i="1" l="1"/>
  <c r="E15" i="1" s="1"/>
  <c r="C16" i="1" l="1"/>
  <c r="E16" i="1" s="1"/>
  <c r="C17" i="1" l="1"/>
  <c r="E17" i="1" s="1"/>
  <c r="C18" i="1" l="1"/>
  <c r="E18" i="1" s="1"/>
  <c r="C19" i="1" l="1"/>
  <c r="E19" i="1" s="1"/>
  <c r="C20" i="1" l="1"/>
  <c r="E20" i="1" s="1"/>
  <c r="C21" i="1" l="1"/>
  <c r="E21" i="1" s="1"/>
  <c r="C22" i="1" l="1"/>
  <c r="E22" i="1" s="1"/>
  <c r="C23" i="1" l="1"/>
  <c r="E23" i="1" s="1"/>
  <c r="C24" i="1" l="1"/>
  <c r="E24" i="1" s="1"/>
  <c r="C25" i="1" l="1"/>
  <c r="E25" i="1" s="1"/>
  <c r="C26" i="1" l="1"/>
  <c r="E26" i="1" s="1"/>
  <c r="C27" i="1" l="1"/>
  <c r="C28" i="1" l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72" i="1" l="1"/>
  <c r="C73" i="1" s="1"/>
  <c r="C74" i="1" s="1"/>
  <c r="C75" i="1" s="1"/>
  <c r="C76" i="1" s="1"/>
  <c r="C77" i="1" s="1"/>
  <c r="C78" i="1" s="1"/>
  <c r="C79" i="1" s="1"/>
  <c r="C80" i="1" s="1"/>
  <c r="C81" i="1" s="1"/>
  <c r="C50" i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82" i="1" l="1"/>
  <c r="C83" i="1" l="1"/>
  <c r="C84" i="1" l="1"/>
  <c r="C85" i="1" l="1"/>
  <c r="C86" i="1" l="1"/>
  <c r="C87" i="1" l="1"/>
  <c r="C88" i="1" l="1"/>
  <c r="C89" i="1" l="1"/>
  <c r="C90" i="1" l="1"/>
  <c r="C91" i="1" l="1"/>
  <c r="C92" i="1" l="1"/>
  <c r="C93" i="1" l="1"/>
  <c r="C94" i="1" l="1"/>
  <c r="C95" i="1" l="1"/>
  <c r="C96" i="1" l="1"/>
  <c r="C97" i="1" l="1"/>
  <c r="C98" i="1" l="1"/>
  <c r="C99" i="1" l="1"/>
  <c r="C100" i="1" l="1"/>
  <c r="C101" i="1" l="1"/>
  <c r="C102" i="1" l="1"/>
  <c r="C103" i="1" l="1"/>
  <c r="C104" i="1" l="1"/>
  <c r="C105" i="1" l="1"/>
  <c r="C106" i="1" l="1"/>
</calcChain>
</file>

<file path=xl/sharedStrings.xml><?xml version="1.0" encoding="utf-8"?>
<sst xmlns="http://schemas.openxmlformats.org/spreadsheetml/2006/main" count="6" uniqueCount="6">
  <si>
    <t>time [s]</t>
  </si>
  <si>
    <t>bisPosition [km,m]</t>
  </si>
  <si>
    <t>speed [m/s]</t>
  </si>
  <si>
    <t>primaryMotoringPower [kW]</t>
  </si>
  <si>
    <t>primaryMotorBrakingPower [kW]</t>
  </si>
  <si>
    <t>acc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</si>
</sst>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Sheet1!$D$1</c:f>
              <c:strCache>
                <c:ptCount val="1"/>
                <c:pt idx="0">
                  <c:v>bisPosition [km,m]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Sheet1!$B$2:$B$106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Sheet1!$D$2:$D$106</c:f>
              <c:numCache>
                <c:formatCode>General</c:formatCode>
                <c:ptCount val="105"/>
                <c:pt idx="0">
                  <c:v>3.1</c:v>
                </c:pt>
                <c:pt idx="1">
                  <c:v>3.1005000000000003</c:v>
                </c:pt>
                <c:pt idx="2">
                  <c:v>3.1020000000000003</c:v>
                </c:pt>
                <c:pt idx="3">
                  <c:v>3.1045000000000003</c:v>
                </c:pt>
                <c:pt idx="4">
                  <c:v>3.1080000000000001</c:v>
                </c:pt>
                <c:pt idx="5">
                  <c:v>3.1125000000000003</c:v>
                </c:pt>
                <c:pt idx="6">
                  <c:v>3.1180000000000003</c:v>
                </c:pt>
                <c:pt idx="7">
                  <c:v>3.1245000000000003</c:v>
                </c:pt>
                <c:pt idx="8">
                  <c:v>3.1320000000000001</c:v>
                </c:pt>
                <c:pt idx="9">
                  <c:v>3.1405000000000003</c:v>
                </c:pt>
                <c:pt idx="10">
                  <c:v>3.1500000000000004</c:v>
                </c:pt>
                <c:pt idx="11">
                  <c:v>3.1605000000000003</c:v>
                </c:pt>
                <c:pt idx="12">
                  <c:v>3.1720000000000002</c:v>
                </c:pt>
                <c:pt idx="13">
                  <c:v>3.1845000000000003</c:v>
                </c:pt>
                <c:pt idx="14">
                  <c:v>3.1980000000000004</c:v>
                </c:pt>
                <c:pt idx="15">
                  <c:v>3.2125000000000004</c:v>
                </c:pt>
                <c:pt idx="16">
                  <c:v>3.2280000000000002</c:v>
                </c:pt>
                <c:pt idx="17">
                  <c:v>3.2445000000000004</c:v>
                </c:pt>
                <c:pt idx="18">
                  <c:v>3.2620000000000005</c:v>
                </c:pt>
                <c:pt idx="19">
                  <c:v>3.2805000000000004</c:v>
                </c:pt>
                <c:pt idx="20">
                  <c:v>3.3000000000000003</c:v>
                </c:pt>
                <c:pt idx="21">
                  <c:v>3.3205000000000005</c:v>
                </c:pt>
                <c:pt idx="22">
                  <c:v>3.3420000000000005</c:v>
                </c:pt>
                <c:pt idx="23">
                  <c:v>3.3645000000000005</c:v>
                </c:pt>
                <c:pt idx="24">
                  <c:v>3.3880000000000003</c:v>
                </c:pt>
                <c:pt idx="25">
                  <c:v>3.4125000000000005</c:v>
                </c:pt>
                <c:pt idx="26">
                  <c:v>3.4375000000000004</c:v>
                </c:pt>
                <c:pt idx="27">
                  <c:v>3.4625000000000004</c:v>
                </c:pt>
                <c:pt idx="28">
                  <c:v>3.4875000000000003</c:v>
                </c:pt>
                <c:pt idx="29">
                  <c:v>3.5125000000000002</c:v>
                </c:pt>
                <c:pt idx="30">
                  <c:v>3.5375000000000001</c:v>
                </c:pt>
                <c:pt idx="31">
                  <c:v>3.5625</c:v>
                </c:pt>
                <c:pt idx="32">
                  <c:v>3.5874999999999999</c:v>
                </c:pt>
                <c:pt idx="33">
                  <c:v>3.6124999999999998</c:v>
                </c:pt>
                <c:pt idx="34">
                  <c:v>3.6374999999999997</c:v>
                </c:pt>
                <c:pt idx="35">
                  <c:v>3.6624999999999996</c:v>
                </c:pt>
                <c:pt idx="36">
                  <c:v>3.6874999999999996</c:v>
                </c:pt>
                <c:pt idx="37">
                  <c:v>3.7124999999999995</c:v>
                </c:pt>
                <c:pt idx="38">
                  <c:v>3.7374999999999994</c:v>
                </c:pt>
                <c:pt idx="39">
                  <c:v>3.7624999999999993</c:v>
                </c:pt>
                <c:pt idx="40">
                  <c:v>3.7874999999999992</c:v>
                </c:pt>
                <c:pt idx="41">
                  <c:v>3.8124999999999991</c:v>
                </c:pt>
                <c:pt idx="42">
                  <c:v>3.837499999999999</c:v>
                </c:pt>
                <c:pt idx="43">
                  <c:v>3.8624999999999989</c:v>
                </c:pt>
                <c:pt idx="44">
                  <c:v>3.8874999999999988</c:v>
                </c:pt>
                <c:pt idx="45">
                  <c:v>3.9124999999999988</c:v>
                </c:pt>
                <c:pt idx="46">
                  <c:v>3.9374999999999987</c:v>
                </c:pt>
                <c:pt idx="47">
                  <c:v>3.9624999999999986</c:v>
                </c:pt>
                <c:pt idx="48">
                  <c:v>3.9874999999999985</c:v>
                </c:pt>
                <c:pt idx="49">
                  <c:v>4.0124999999999984</c:v>
                </c:pt>
                <c:pt idx="50">
                  <c:v>4.0374999999999988</c:v>
                </c:pt>
                <c:pt idx="51">
                  <c:v>4.0624999999999991</c:v>
                </c:pt>
                <c:pt idx="52">
                  <c:v>4.0874999999999995</c:v>
                </c:pt>
                <c:pt idx="53">
                  <c:v>4.1124999999999998</c:v>
                </c:pt>
                <c:pt idx="54">
                  <c:v>4.1375000000000002</c:v>
                </c:pt>
                <c:pt idx="55">
                  <c:v>4.1625000000000005</c:v>
                </c:pt>
                <c:pt idx="56">
                  <c:v>4.1875000000000009</c:v>
                </c:pt>
                <c:pt idx="57">
                  <c:v>4.2125000000000012</c:v>
                </c:pt>
                <c:pt idx="58">
                  <c:v>4.2375000000000016</c:v>
                </c:pt>
                <c:pt idx="59">
                  <c:v>4.262500000000002</c:v>
                </c:pt>
                <c:pt idx="60">
                  <c:v>4.2875000000000023</c:v>
                </c:pt>
                <c:pt idx="61">
                  <c:v>4.3125000000000027</c:v>
                </c:pt>
                <c:pt idx="62">
                  <c:v>4.337500000000003</c:v>
                </c:pt>
                <c:pt idx="63">
                  <c:v>4.3625000000000034</c:v>
                </c:pt>
                <c:pt idx="64">
                  <c:v>4.3875000000000037</c:v>
                </c:pt>
                <c:pt idx="65">
                  <c:v>4.4125000000000041</c:v>
                </c:pt>
                <c:pt idx="66">
                  <c:v>4.4375000000000044</c:v>
                </c:pt>
                <c:pt idx="67">
                  <c:v>4.4625000000000048</c:v>
                </c:pt>
                <c:pt idx="68">
                  <c:v>4.4875000000000052</c:v>
                </c:pt>
                <c:pt idx="69">
                  <c:v>4.5125000000000055</c:v>
                </c:pt>
                <c:pt idx="70">
                  <c:v>4.5375000000000059</c:v>
                </c:pt>
                <c:pt idx="71">
                  <c:v>4.5625000000000062</c:v>
                </c:pt>
                <c:pt idx="72">
                  <c:v>4.5875000000000066</c:v>
                </c:pt>
                <c:pt idx="73">
                  <c:v>4.6125000000000069</c:v>
                </c:pt>
                <c:pt idx="74">
                  <c:v>4.6375000000000073</c:v>
                </c:pt>
                <c:pt idx="75">
                  <c:v>4.6625000000000076</c:v>
                </c:pt>
                <c:pt idx="76">
                  <c:v>4.687500000000008</c:v>
                </c:pt>
                <c:pt idx="77">
                  <c:v>4.7125000000000083</c:v>
                </c:pt>
                <c:pt idx="78">
                  <c:v>4.7375000000000087</c:v>
                </c:pt>
                <c:pt idx="79">
                  <c:v>4.7625000000000091</c:v>
                </c:pt>
                <c:pt idx="80">
                  <c:v>4.7870000000000088</c:v>
                </c:pt>
                <c:pt idx="81">
                  <c:v>4.8105000000000091</c:v>
                </c:pt>
                <c:pt idx="82">
                  <c:v>4.8330000000000091</c:v>
                </c:pt>
                <c:pt idx="83">
                  <c:v>4.8545000000000087</c:v>
                </c:pt>
                <c:pt idx="84">
                  <c:v>4.8750000000000089</c:v>
                </c:pt>
                <c:pt idx="85">
                  <c:v>4.8945000000000087</c:v>
                </c:pt>
                <c:pt idx="86">
                  <c:v>4.9130000000000091</c:v>
                </c:pt>
                <c:pt idx="87">
                  <c:v>4.9305000000000092</c:v>
                </c:pt>
                <c:pt idx="88">
                  <c:v>4.9470000000000089</c:v>
                </c:pt>
                <c:pt idx="89">
                  <c:v>4.9625000000000092</c:v>
                </c:pt>
                <c:pt idx="90">
                  <c:v>4.9770000000000092</c:v>
                </c:pt>
                <c:pt idx="91">
                  <c:v>4.9905000000000088</c:v>
                </c:pt>
                <c:pt idx="92">
                  <c:v>5.003000000000009</c:v>
                </c:pt>
                <c:pt idx="93">
                  <c:v>5.0145000000000088</c:v>
                </c:pt>
                <c:pt idx="94">
                  <c:v>5.0250000000000092</c:v>
                </c:pt>
                <c:pt idx="95">
                  <c:v>5.0345000000000093</c:v>
                </c:pt>
                <c:pt idx="96">
                  <c:v>5.043000000000009</c:v>
                </c:pt>
                <c:pt idx="97">
                  <c:v>5.0505000000000093</c:v>
                </c:pt>
                <c:pt idx="98">
                  <c:v>5.0570000000000093</c:v>
                </c:pt>
                <c:pt idx="99">
                  <c:v>5.0625000000000089</c:v>
                </c:pt>
                <c:pt idx="100">
                  <c:v>5.0670000000000091</c:v>
                </c:pt>
                <c:pt idx="101">
                  <c:v>5.0705000000000089</c:v>
                </c:pt>
                <c:pt idx="102">
                  <c:v>5.0730000000000093</c:v>
                </c:pt>
                <c:pt idx="103">
                  <c:v>5.0745000000000093</c:v>
                </c:pt>
                <c:pt idx="104">
                  <c:v>5.0750000000000091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9D-4F67-B65A-2EFC93C095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07099072"/>
        <c:axId val="1348649136"/>
      </c:scatterChart>
      <c:valAx>
        <c:axId val="14070990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348649136"/>
        <c:crosses val="autoZero"/>
        <c:crossBetween val="midCat"/>
      </c:valAx>
      <c:valAx>
        <c:axId val="1348649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070990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Sheet1!$E$1</c:f>
              <c:strCache>
                <c:ptCount val="1"/>
                <c:pt idx="0">
                  <c:v>primaryMotoringPower [kW]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Sheet1!$B$2:$B$106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Sheet1!$E$2:$E$106</c:f>
              <c:numCache>
                <c:formatCode>General</c:formatCode>
                <c:ptCount val="105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600</c:v>
                </c:pt>
                <c:pt idx="7">
                  <c:v>700</c:v>
                </c:pt>
                <c:pt idx="8">
                  <c:v>800</c:v>
                </c:pt>
                <c:pt idx="9">
                  <c:v>900</c:v>
                </c:pt>
                <c:pt idx="10">
                  <c:v>1000</c:v>
                </c:pt>
                <c:pt idx="11">
                  <c:v>1100</c:v>
                </c:pt>
                <c:pt idx="12">
                  <c:v>1200</c:v>
                </c:pt>
                <c:pt idx="13">
                  <c:v>1300</c:v>
                </c:pt>
                <c:pt idx="14">
                  <c:v>1400</c:v>
                </c:pt>
                <c:pt idx="15">
                  <c:v>1500</c:v>
                </c:pt>
                <c:pt idx="16">
                  <c:v>1600</c:v>
                </c:pt>
                <c:pt idx="17">
                  <c:v>1700</c:v>
                </c:pt>
                <c:pt idx="18">
                  <c:v>1800</c:v>
                </c:pt>
                <c:pt idx="19">
                  <c:v>1900</c:v>
                </c:pt>
                <c:pt idx="20">
                  <c:v>2000</c:v>
                </c:pt>
                <c:pt idx="21">
                  <c:v>2100</c:v>
                </c:pt>
                <c:pt idx="22">
                  <c:v>2200</c:v>
                </c:pt>
                <c:pt idx="23">
                  <c:v>2300</c:v>
                </c:pt>
                <c:pt idx="24">
                  <c:v>2400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CE5-4245-90E5-87EB90EAFC90}"/>
            </c:ext>
          </c:extLst>
        </c:ser>
        <c:ser>
          <c:idx val="1"/>
          <c:order val="1"/>
          <c:tx>
            <c:strRef>
              <c:f>Sheet1!$F$1</c:f>
              <c:strCache>
                <c:ptCount val="1"/>
                <c:pt idx="0">
                  <c:v>primaryMotorBrakingPower [kW]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Sheet1!$B$2:$B$106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Sheet1!$F$2:$F$106</c:f>
              <c:numCache>
                <c:formatCode>General</c:formatCode>
                <c:ptCount val="10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-2500</c:v>
                </c:pt>
                <c:pt idx="80">
                  <c:v>-2400</c:v>
                </c:pt>
                <c:pt idx="81">
                  <c:v>-2300</c:v>
                </c:pt>
                <c:pt idx="82">
                  <c:v>-2200</c:v>
                </c:pt>
                <c:pt idx="83">
                  <c:v>-2100</c:v>
                </c:pt>
                <c:pt idx="84">
                  <c:v>-2000</c:v>
                </c:pt>
                <c:pt idx="85">
                  <c:v>-1900</c:v>
                </c:pt>
                <c:pt idx="86">
                  <c:v>-1800</c:v>
                </c:pt>
                <c:pt idx="87">
                  <c:v>-1700</c:v>
                </c:pt>
                <c:pt idx="88">
                  <c:v>-1600</c:v>
                </c:pt>
                <c:pt idx="89">
                  <c:v>-1500</c:v>
                </c:pt>
                <c:pt idx="90">
                  <c:v>-1400</c:v>
                </c:pt>
                <c:pt idx="91">
                  <c:v>-1300</c:v>
                </c:pt>
                <c:pt idx="92">
                  <c:v>-1200</c:v>
                </c:pt>
                <c:pt idx="93">
                  <c:v>-1100</c:v>
                </c:pt>
                <c:pt idx="94">
                  <c:v>-1000</c:v>
                </c:pt>
                <c:pt idx="95">
                  <c:v>-900</c:v>
                </c:pt>
                <c:pt idx="96">
                  <c:v>-800</c:v>
                </c:pt>
                <c:pt idx="97">
                  <c:v>-700</c:v>
                </c:pt>
                <c:pt idx="98">
                  <c:v>-600</c:v>
                </c:pt>
                <c:pt idx="99">
                  <c:v>-500</c:v>
                </c:pt>
                <c:pt idx="100">
                  <c:v>-400</c:v>
                </c:pt>
                <c:pt idx="101">
                  <c:v>-300</c:v>
                </c:pt>
                <c:pt idx="102">
                  <c:v>-200</c:v>
                </c:pt>
                <c:pt idx="103">
                  <c:v>-100</c:v>
                </c:pt>
                <c:pt idx="10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CE5-4245-90E5-87EB90EAFC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45347951"/>
        <c:axId val="445354671"/>
      </c:scatterChart>
      <c:valAx>
        <c:axId val="445347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45354671"/>
        <c:crosses val="autoZero"/>
        <c:crossBetween val="midCat"/>
      </c:valAx>
      <c:valAx>
        <c:axId val="445354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445347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Sheet1!$C$1</c:f>
              <c:strCache>
                <c:ptCount val="1"/>
                <c:pt idx="0">
                  <c:v>speed [m/s]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Sheet1!$B$2:$B$106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26</c:v>
                </c:pt>
                <c:pt idx="27">
                  <c:v>27</c:v>
                </c:pt>
                <c:pt idx="28">
                  <c:v>28</c:v>
                </c:pt>
                <c:pt idx="29">
                  <c:v>29</c:v>
                </c:pt>
                <c:pt idx="30">
                  <c:v>30</c:v>
                </c:pt>
                <c:pt idx="31">
                  <c:v>31</c:v>
                </c:pt>
                <c:pt idx="32">
                  <c:v>32</c:v>
                </c:pt>
                <c:pt idx="33">
                  <c:v>33</c:v>
                </c:pt>
                <c:pt idx="34">
                  <c:v>34</c:v>
                </c:pt>
                <c:pt idx="35">
                  <c:v>35</c:v>
                </c:pt>
                <c:pt idx="36">
                  <c:v>36</c:v>
                </c:pt>
                <c:pt idx="37">
                  <c:v>37</c:v>
                </c:pt>
                <c:pt idx="38">
                  <c:v>38</c:v>
                </c:pt>
                <c:pt idx="39">
                  <c:v>39</c:v>
                </c:pt>
                <c:pt idx="40">
                  <c:v>40</c:v>
                </c:pt>
                <c:pt idx="41">
                  <c:v>41</c:v>
                </c:pt>
                <c:pt idx="42">
                  <c:v>42</c:v>
                </c:pt>
                <c:pt idx="43">
                  <c:v>43</c:v>
                </c:pt>
                <c:pt idx="44">
                  <c:v>44</c:v>
                </c:pt>
                <c:pt idx="45">
                  <c:v>45</c:v>
                </c:pt>
                <c:pt idx="46">
                  <c:v>46</c:v>
                </c:pt>
                <c:pt idx="47">
                  <c:v>47</c:v>
                </c:pt>
                <c:pt idx="48">
                  <c:v>48</c:v>
                </c:pt>
                <c:pt idx="49">
                  <c:v>49</c:v>
                </c:pt>
                <c:pt idx="50">
                  <c:v>50</c:v>
                </c:pt>
                <c:pt idx="51">
                  <c:v>51</c:v>
                </c:pt>
                <c:pt idx="52">
                  <c:v>52</c:v>
                </c:pt>
                <c:pt idx="53">
                  <c:v>53</c:v>
                </c:pt>
                <c:pt idx="54">
                  <c:v>54</c:v>
                </c:pt>
                <c:pt idx="55">
                  <c:v>55</c:v>
                </c:pt>
                <c:pt idx="56">
                  <c:v>56</c:v>
                </c:pt>
                <c:pt idx="57">
                  <c:v>57</c:v>
                </c:pt>
                <c:pt idx="58">
                  <c:v>58</c:v>
                </c:pt>
                <c:pt idx="59">
                  <c:v>59</c:v>
                </c:pt>
                <c:pt idx="60">
                  <c:v>60</c:v>
                </c:pt>
                <c:pt idx="61">
                  <c:v>61</c:v>
                </c:pt>
                <c:pt idx="62">
                  <c:v>62</c:v>
                </c:pt>
                <c:pt idx="63">
                  <c:v>63</c:v>
                </c:pt>
                <c:pt idx="64">
                  <c:v>64</c:v>
                </c:pt>
                <c:pt idx="65">
                  <c:v>65</c:v>
                </c:pt>
                <c:pt idx="66">
                  <c:v>66</c:v>
                </c:pt>
                <c:pt idx="67">
                  <c:v>67</c:v>
                </c:pt>
                <c:pt idx="68">
                  <c:v>68</c:v>
                </c:pt>
                <c:pt idx="69">
                  <c:v>69</c:v>
                </c:pt>
                <c:pt idx="70">
                  <c:v>70</c:v>
                </c:pt>
                <c:pt idx="71">
                  <c:v>71</c:v>
                </c:pt>
                <c:pt idx="72">
                  <c:v>72</c:v>
                </c:pt>
                <c:pt idx="73">
                  <c:v>73</c:v>
                </c:pt>
                <c:pt idx="74">
                  <c:v>74</c:v>
                </c:pt>
                <c:pt idx="75">
                  <c:v>75</c:v>
                </c:pt>
                <c:pt idx="76">
                  <c:v>76</c:v>
                </c:pt>
                <c:pt idx="77">
                  <c:v>77</c:v>
                </c:pt>
                <c:pt idx="78">
                  <c:v>78</c:v>
                </c:pt>
                <c:pt idx="79">
                  <c:v>79</c:v>
                </c:pt>
                <c:pt idx="80">
                  <c:v>80</c:v>
                </c:pt>
                <c:pt idx="81">
                  <c:v>81</c:v>
                </c:pt>
                <c:pt idx="82">
                  <c:v>82</c:v>
                </c:pt>
                <c:pt idx="83">
                  <c:v>83</c:v>
                </c:pt>
                <c:pt idx="84">
                  <c:v>84</c:v>
                </c:pt>
                <c:pt idx="85">
                  <c:v>85</c:v>
                </c:pt>
                <c:pt idx="86">
                  <c:v>86</c:v>
                </c:pt>
                <c:pt idx="87">
                  <c:v>87</c:v>
                </c:pt>
                <c:pt idx="88">
                  <c:v>88</c:v>
                </c:pt>
                <c:pt idx="89">
                  <c:v>89</c:v>
                </c:pt>
                <c:pt idx="90">
                  <c:v>90</c:v>
                </c:pt>
                <c:pt idx="91">
                  <c:v>91</c:v>
                </c:pt>
                <c:pt idx="92">
                  <c:v>92</c:v>
                </c:pt>
                <c:pt idx="93">
                  <c:v>93</c:v>
                </c:pt>
                <c:pt idx="94">
                  <c:v>94</c:v>
                </c:pt>
                <c:pt idx="95">
                  <c:v>95</c:v>
                </c:pt>
                <c:pt idx="96">
                  <c:v>96</c:v>
                </c:pt>
                <c:pt idx="97">
                  <c:v>97</c:v>
                </c:pt>
                <c:pt idx="98">
                  <c:v>98</c:v>
                </c:pt>
                <c:pt idx="99">
                  <c:v>99</c:v>
                </c:pt>
                <c:pt idx="100">
                  <c:v>100</c:v>
                </c:pt>
                <c:pt idx="101">
                  <c:v>101</c:v>
                </c:pt>
                <c:pt idx="102">
                  <c:v>102</c:v>
                </c:pt>
                <c:pt idx="103">
                  <c:v>103</c:v>
                </c:pt>
                <c:pt idx="104">
                  <c:v>104</c:v>
                </c:pt>
              </c:numCache>
            </c:numRef>
          </c:xVal>
          <c:yVal>
            <c:numRef>
              <c:f>Sheet1!$C$2:$C$106</c:f>
              <c:numCache>
                <c:formatCode>General</c:formatCode>
                <c:ptCount val="105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23</c:v>
                </c:pt>
                <c:pt idx="24">
                  <c:v>24</c:v>
                </c:pt>
                <c:pt idx="25">
                  <c:v>25</c:v>
                </c:pt>
                <c:pt idx="26">
                  <c:v>25</c:v>
                </c:pt>
                <c:pt idx="27">
                  <c:v>25</c:v>
                </c:pt>
                <c:pt idx="28">
                  <c:v>25</c:v>
                </c:pt>
                <c:pt idx="29">
                  <c:v>25</c:v>
                </c:pt>
                <c:pt idx="30">
                  <c:v>25</c:v>
                </c:pt>
                <c:pt idx="31">
                  <c:v>25</c:v>
                </c:pt>
                <c:pt idx="32">
                  <c:v>25</c:v>
                </c:pt>
                <c:pt idx="33">
                  <c:v>25</c:v>
                </c:pt>
                <c:pt idx="34">
                  <c:v>25</c:v>
                </c:pt>
                <c:pt idx="35">
                  <c:v>25</c:v>
                </c:pt>
                <c:pt idx="36">
                  <c:v>25</c:v>
                </c:pt>
                <c:pt idx="37">
                  <c:v>25</c:v>
                </c:pt>
                <c:pt idx="38">
                  <c:v>25</c:v>
                </c:pt>
                <c:pt idx="39">
                  <c:v>25</c:v>
                </c:pt>
                <c:pt idx="40">
                  <c:v>25</c:v>
                </c:pt>
                <c:pt idx="41">
                  <c:v>25</c:v>
                </c:pt>
                <c:pt idx="42">
                  <c:v>25</c:v>
                </c:pt>
                <c:pt idx="43">
                  <c:v>25</c:v>
                </c:pt>
                <c:pt idx="44">
                  <c:v>25</c:v>
                </c:pt>
                <c:pt idx="45">
                  <c:v>25</c:v>
                </c:pt>
                <c:pt idx="46">
                  <c:v>25</c:v>
                </c:pt>
                <c:pt idx="47">
                  <c:v>25</c:v>
                </c:pt>
                <c:pt idx="48">
                  <c:v>25</c:v>
                </c:pt>
                <c:pt idx="49">
                  <c:v>25</c:v>
                </c:pt>
                <c:pt idx="50">
                  <c:v>25</c:v>
                </c:pt>
                <c:pt idx="51">
                  <c:v>25</c:v>
                </c:pt>
                <c:pt idx="52">
                  <c:v>25</c:v>
                </c:pt>
                <c:pt idx="53">
                  <c:v>25</c:v>
                </c:pt>
                <c:pt idx="54">
                  <c:v>25</c:v>
                </c:pt>
                <c:pt idx="55">
                  <c:v>25</c:v>
                </c:pt>
                <c:pt idx="56">
                  <c:v>25</c:v>
                </c:pt>
                <c:pt idx="57">
                  <c:v>25</c:v>
                </c:pt>
                <c:pt idx="58">
                  <c:v>25</c:v>
                </c:pt>
                <c:pt idx="59">
                  <c:v>25</c:v>
                </c:pt>
                <c:pt idx="60">
                  <c:v>25</c:v>
                </c:pt>
                <c:pt idx="61">
                  <c:v>25</c:v>
                </c:pt>
                <c:pt idx="62">
                  <c:v>25</c:v>
                </c:pt>
                <c:pt idx="63">
                  <c:v>25</c:v>
                </c:pt>
                <c:pt idx="64">
                  <c:v>25</c:v>
                </c:pt>
                <c:pt idx="65">
                  <c:v>25</c:v>
                </c:pt>
                <c:pt idx="66">
                  <c:v>25</c:v>
                </c:pt>
                <c:pt idx="67">
                  <c:v>25</c:v>
                </c:pt>
                <c:pt idx="68">
                  <c:v>25</c:v>
                </c:pt>
                <c:pt idx="69">
                  <c:v>25</c:v>
                </c:pt>
                <c:pt idx="70">
                  <c:v>25</c:v>
                </c:pt>
                <c:pt idx="71">
                  <c:v>25</c:v>
                </c:pt>
                <c:pt idx="72">
                  <c:v>25</c:v>
                </c:pt>
                <c:pt idx="73">
                  <c:v>25</c:v>
                </c:pt>
                <c:pt idx="74">
                  <c:v>25</c:v>
                </c:pt>
                <c:pt idx="75">
                  <c:v>25</c:v>
                </c:pt>
                <c:pt idx="76">
                  <c:v>25</c:v>
                </c:pt>
                <c:pt idx="77">
                  <c:v>25</c:v>
                </c:pt>
                <c:pt idx="78">
                  <c:v>25</c:v>
                </c:pt>
                <c:pt idx="79">
                  <c:v>25</c:v>
                </c:pt>
                <c:pt idx="80">
                  <c:v>24</c:v>
                </c:pt>
                <c:pt idx="81">
                  <c:v>23</c:v>
                </c:pt>
                <c:pt idx="82">
                  <c:v>22</c:v>
                </c:pt>
                <c:pt idx="83">
                  <c:v>21</c:v>
                </c:pt>
                <c:pt idx="84">
                  <c:v>20</c:v>
                </c:pt>
                <c:pt idx="85">
                  <c:v>19</c:v>
                </c:pt>
                <c:pt idx="86">
                  <c:v>18</c:v>
                </c:pt>
                <c:pt idx="87">
                  <c:v>17</c:v>
                </c:pt>
                <c:pt idx="88">
                  <c:v>16</c:v>
                </c:pt>
                <c:pt idx="89">
                  <c:v>15</c:v>
                </c:pt>
                <c:pt idx="90">
                  <c:v>14</c:v>
                </c:pt>
                <c:pt idx="91">
                  <c:v>13</c:v>
                </c:pt>
                <c:pt idx="92">
                  <c:v>12</c:v>
                </c:pt>
                <c:pt idx="93">
                  <c:v>11</c:v>
                </c:pt>
                <c:pt idx="94">
                  <c:v>10</c:v>
                </c:pt>
                <c:pt idx="95">
                  <c:v>9</c:v>
                </c:pt>
                <c:pt idx="96">
                  <c:v>8</c:v>
                </c:pt>
                <c:pt idx="97">
                  <c:v>7</c:v>
                </c:pt>
                <c:pt idx="98">
                  <c:v>6</c:v>
                </c:pt>
                <c:pt idx="99">
                  <c:v>5</c:v>
                </c:pt>
                <c:pt idx="100">
                  <c:v>4</c:v>
                </c:pt>
                <c:pt idx="101">
                  <c:v>3</c:v>
                </c:pt>
                <c:pt idx="102">
                  <c:v>2</c:v>
                </c:pt>
                <c:pt idx="103">
                  <c:v>1</c:v>
                </c:pt>
                <c:pt idx="104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E6E-49AD-9663-0C11717BFD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429082416"/>
        <c:axId val="1429082896"/>
      </c:scatterChart>
      <c:valAx>
        <c:axId val="1429082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29082896"/>
        <c:crosses val="autoZero"/>
        <c:crossBetween val="midCat"/>
      </c:valAx>
      <c:valAx>
        <c:axId val="142908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L"/>
          </a:p>
        </c:txPr>
        <c:crossAx val="14290824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133350</xdr:colOff>
      <xdr:row>22</xdr:row>
      <xdr:rowOff>85725</xdr:rowOff>
    </xdr:from>
    <xdr:to>
      <xdr:col>10</xdr:col>
      <xdr:colOff>438150</xdr:colOff>
      <xdr:row>36</xdr:row>
      <xdr:rowOff>161925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A4C056-DBF9-6442-B129-6E6B255691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600075</xdr:colOff>
      <xdr:row>7</xdr:row>
      <xdr:rowOff>0</xdr:rowOff>
    </xdr:from>
    <xdr:to>
      <xdr:col>18</xdr:col>
      <xdr:colOff>295275</xdr:colOff>
      <xdr:row>21</xdr:row>
      <xdr:rowOff>76200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1530DAFE-0C1F-6A59-8D11-E86C350AAC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200025</xdr:colOff>
      <xdr:row>7</xdr:row>
      <xdr:rowOff>9525</xdr:rowOff>
    </xdr:from>
    <xdr:to>
      <xdr:col>10</xdr:col>
      <xdr:colOff>504825</xdr:colOff>
      <xdr:row>21</xdr:row>
      <xdr:rowOff>85725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08784E6-550D-DD45-0497-F697BBBB22B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F5F2CC-9C60-4798-9786-EA69E6C5E2FD}">
  <dimension ref="A1:N106"/>
  <sheetViews>
    <sheetView tabSelected="1" workbookViewId="0">
      <selection activeCell="N28" sqref="N28"/>
    </sheetView>
  </sheetViews>
  <sheetFormatPr defaultRowHeight="15" x14ac:dyDescent="0.25"/>
  <sheetData>
    <row r="1" spans="1:12" x14ac:dyDescent="0.25">
      <c r="A1" t="s">
        <v>5</v>
      </c>
      <c r="B1" t="s">
        <v>0</v>
      </c>
      <c r="C1" t="s">
        <v>2</v>
      </c>
      <c r="D1" t="s">
        <v>1</v>
      </c>
      <c r="E1" t="s">
        <v>3</v>
      </c>
      <c r="F1" t="s">
        <v>4</v>
      </c>
    </row>
    <row r="2" spans="1:12" x14ac:dyDescent="0.25">
      <c r="A2">
        <v>1</v>
      </c>
      <c r="B2">
        <v>0</v>
      </c>
      <c r="C2">
        <v>0</v>
      </c>
      <c r="D2">
        <v>3.1</v>
      </c>
      <c r="E2">
        <f>IF(A2&gt;0,A2*C2*100,0)</f>
        <v>0</v>
      </c>
      <c r="F2">
        <f>IF(A2&lt;0,A2*C2*100,0)</f>
        <v>0</v>
      </c>
      <c r="L2">
        <v>3100</v>
      </c>
    </row>
    <row r="3" spans="1:12" x14ac:dyDescent="0.25">
      <c r="A3">
        <v>1</v>
      </c>
      <c r="B3">
        <v>1</v>
      </c>
      <c r="C3">
        <f t="shared" ref="C3:C28" si="0">C2+A2</f>
        <v>1</v>
      </c>
      <c r="D3">
        <f>(D2+(C2+0.5*A2)/1000)</f>
        <v>3.1005000000000003</v>
      </c>
      <c r="E3">
        <f t="shared" ref="E3:E86" si="1">IF(A3&gt;0,A3*C3*100,0)</f>
        <v>100</v>
      </c>
      <c r="F3">
        <f t="shared" ref="F3:F28" si="2">IF(A3&lt;0,A3*C3*100,0)</f>
        <v>0</v>
      </c>
    </row>
    <row r="4" spans="1:12" x14ac:dyDescent="0.25">
      <c r="A4">
        <v>1</v>
      </c>
      <c r="B4">
        <v>2</v>
      </c>
      <c r="C4">
        <f t="shared" si="0"/>
        <v>2</v>
      </c>
      <c r="D4">
        <f t="shared" ref="D4:D67" si="3">(D3+(C3+0.5*A3)/1000)</f>
        <v>3.1020000000000003</v>
      </c>
      <c r="E4">
        <f t="shared" si="1"/>
        <v>200</v>
      </c>
      <c r="F4">
        <f t="shared" si="2"/>
        <v>0</v>
      </c>
    </row>
    <row r="5" spans="1:12" x14ac:dyDescent="0.25">
      <c r="A5">
        <v>1</v>
      </c>
      <c r="B5">
        <v>3</v>
      </c>
      <c r="C5">
        <f t="shared" si="0"/>
        <v>3</v>
      </c>
      <c r="D5">
        <f t="shared" si="3"/>
        <v>3.1045000000000003</v>
      </c>
      <c r="E5">
        <f t="shared" si="1"/>
        <v>300</v>
      </c>
      <c r="F5">
        <f t="shared" si="2"/>
        <v>0</v>
      </c>
    </row>
    <row r="6" spans="1:12" x14ac:dyDescent="0.25">
      <c r="A6">
        <v>1</v>
      </c>
      <c r="B6">
        <v>4</v>
      </c>
      <c r="C6">
        <f t="shared" si="0"/>
        <v>4</v>
      </c>
      <c r="D6">
        <f t="shared" si="3"/>
        <v>3.1080000000000001</v>
      </c>
      <c r="E6">
        <f t="shared" si="1"/>
        <v>400</v>
      </c>
      <c r="F6">
        <f t="shared" si="2"/>
        <v>0</v>
      </c>
    </row>
    <row r="7" spans="1:12" x14ac:dyDescent="0.25">
      <c r="A7">
        <v>1</v>
      </c>
      <c r="B7">
        <v>5</v>
      </c>
      <c r="C7">
        <f t="shared" si="0"/>
        <v>5</v>
      </c>
      <c r="D7">
        <f t="shared" si="3"/>
        <v>3.1125000000000003</v>
      </c>
      <c r="E7">
        <f t="shared" si="1"/>
        <v>500</v>
      </c>
      <c r="F7">
        <f t="shared" si="2"/>
        <v>0</v>
      </c>
    </row>
    <row r="8" spans="1:12" x14ac:dyDescent="0.25">
      <c r="A8">
        <v>1</v>
      </c>
      <c r="B8">
        <v>6</v>
      </c>
      <c r="C8">
        <f t="shared" si="0"/>
        <v>6</v>
      </c>
      <c r="D8">
        <f t="shared" si="3"/>
        <v>3.1180000000000003</v>
      </c>
      <c r="E8">
        <f t="shared" si="1"/>
        <v>600</v>
      </c>
      <c r="F8">
        <f t="shared" si="2"/>
        <v>0</v>
      </c>
    </row>
    <row r="9" spans="1:12" x14ac:dyDescent="0.25">
      <c r="A9">
        <v>1</v>
      </c>
      <c r="B9">
        <v>7</v>
      </c>
      <c r="C9">
        <f t="shared" si="0"/>
        <v>7</v>
      </c>
      <c r="D9">
        <f t="shared" si="3"/>
        <v>3.1245000000000003</v>
      </c>
      <c r="E9">
        <f t="shared" si="1"/>
        <v>700</v>
      </c>
      <c r="F9">
        <f t="shared" si="2"/>
        <v>0</v>
      </c>
    </row>
    <row r="10" spans="1:12" x14ac:dyDescent="0.25">
      <c r="A10">
        <v>1</v>
      </c>
      <c r="B10">
        <v>8</v>
      </c>
      <c r="C10">
        <f t="shared" si="0"/>
        <v>8</v>
      </c>
      <c r="D10">
        <f t="shared" si="3"/>
        <v>3.1320000000000001</v>
      </c>
      <c r="E10">
        <f t="shared" si="1"/>
        <v>800</v>
      </c>
      <c r="F10">
        <f t="shared" si="2"/>
        <v>0</v>
      </c>
    </row>
    <row r="11" spans="1:12" x14ac:dyDescent="0.25">
      <c r="A11">
        <v>1</v>
      </c>
      <c r="B11">
        <v>9</v>
      </c>
      <c r="C11">
        <f t="shared" si="0"/>
        <v>9</v>
      </c>
      <c r="D11">
        <f t="shared" si="3"/>
        <v>3.1405000000000003</v>
      </c>
      <c r="E11">
        <f t="shared" si="1"/>
        <v>900</v>
      </c>
      <c r="F11">
        <f t="shared" si="2"/>
        <v>0</v>
      </c>
    </row>
    <row r="12" spans="1:12" x14ac:dyDescent="0.25">
      <c r="A12">
        <v>1</v>
      </c>
      <c r="B12">
        <v>10</v>
      </c>
      <c r="C12">
        <f t="shared" si="0"/>
        <v>10</v>
      </c>
      <c r="D12">
        <f t="shared" si="3"/>
        <v>3.1500000000000004</v>
      </c>
      <c r="E12">
        <f t="shared" si="1"/>
        <v>1000</v>
      </c>
      <c r="F12">
        <f t="shared" si="2"/>
        <v>0</v>
      </c>
    </row>
    <row r="13" spans="1:12" x14ac:dyDescent="0.25">
      <c r="A13">
        <v>1</v>
      </c>
      <c r="B13">
        <v>11</v>
      </c>
      <c r="C13">
        <f t="shared" si="0"/>
        <v>11</v>
      </c>
      <c r="D13">
        <f t="shared" si="3"/>
        <v>3.1605000000000003</v>
      </c>
      <c r="E13">
        <f t="shared" si="1"/>
        <v>1100</v>
      </c>
      <c r="F13">
        <f t="shared" si="2"/>
        <v>0</v>
      </c>
    </row>
    <row r="14" spans="1:12" x14ac:dyDescent="0.25">
      <c r="A14">
        <v>1</v>
      </c>
      <c r="B14">
        <v>12</v>
      </c>
      <c r="C14">
        <f t="shared" si="0"/>
        <v>12</v>
      </c>
      <c r="D14">
        <f t="shared" si="3"/>
        <v>3.1720000000000002</v>
      </c>
      <c r="E14">
        <f t="shared" si="1"/>
        <v>1200</v>
      </c>
      <c r="F14">
        <f t="shared" si="2"/>
        <v>0</v>
      </c>
    </row>
    <row r="15" spans="1:12" x14ac:dyDescent="0.25">
      <c r="A15">
        <v>1</v>
      </c>
      <c r="B15">
        <v>13</v>
      </c>
      <c r="C15">
        <f t="shared" si="0"/>
        <v>13</v>
      </c>
      <c r="D15">
        <f t="shared" si="3"/>
        <v>3.1845000000000003</v>
      </c>
      <c r="E15">
        <f t="shared" si="1"/>
        <v>1300</v>
      </c>
      <c r="F15">
        <f t="shared" si="2"/>
        <v>0</v>
      </c>
    </row>
    <row r="16" spans="1:12" x14ac:dyDescent="0.25">
      <c r="A16">
        <v>1</v>
      </c>
      <c r="B16">
        <v>14</v>
      </c>
      <c r="C16">
        <f t="shared" si="0"/>
        <v>14</v>
      </c>
      <c r="D16">
        <f t="shared" si="3"/>
        <v>3.1980000000000004</v>
      </c>
      <c r="E16">
        <f t="shared" si="1"/>
        <v>1400</v>
      </c>
      <c r="F16">
        <f t="shared" si="2"/>
        <v>0</v>
      </c>
    </row>
    <row r="17" spans="1:14" x14ac:dyDescent="0.25">
      <c r="A17">
        <v>1</v>
      </c>
      <c r="B17">
        <v>15</v>
      </c>
      <c r="C17">
        <f t="shared" si="0"/>
        <v>15</v>
      </c>
      <c r="D17">
        <f t="shared" si="3"/>
        <v>3.2125000000000004</v>
      </c>
      <c r="E17">
        <f t="shared" si="1"/>
        <v>1500</v>
      </c>
      <c r="F17">
        <f t="shared" si="2"/>
        <v>0</v>
      </c>
    </row>
    <row r="18" spans="1:14" x14ac:dyDescent="0.25">
      <c r="A18">
        <v>1</v>
      </c>
      <c r="B18">
        <v>16</v>
      </c>
      <c r="C18">
        <f t="shared" si="0"/>
        <v>16</v>
      </c>
      <c r="D18">
        <f t="shared" si="3"/>
        <v>3.2280000000000002</v>
      </c>
      <c r="E18">
        <f t="shared" si="1"/>
        <v>1600</v>
      </c>
      <c r="F18">
        <f t="shared" si="2"/>
        <v>0</v>
      </c>
    </row>
    <row r="19" spans="1:14" x14ac:dyDescent="0.25">
      <c r="A19">
        <v>1</v>
      </c>
      <c r="B19">
        <v>17</v>
      </c>
      <c r="C19">
        <f t="shared" si="0"/>
        <v>17</v>
      </c>
      <c r="D19">
        <f t="shared" si="3"/>
        <v>3.2445000000000004</v>
      </c>
      <c r="E19">
        <f t="shared" si="1"/>
        <v>1700</v>
      </c>
      <c r="F19">
        <f t="shared" si="2"/>
        <v>0</v>
      </c>
    </row>
    <row r="20" spans="1:14" x14ac:dyDescent="0.25">
      <c r="A20">
        <v>1</v>
      </c>
      <c r="B20">
        <v>18</v>
      </c>
      <c r="C20">
        <f t="shared" si="0"/>
        <v>18</v>
      </c>
      <c r="D20">
        <f t="shared" si="3"/>
        <v>3.2620000000000005</v>
      </c>
      <c r="E20">
        <f t="shared" si="1"/>
        <v>1800</v>
      </c>
      <c r="F20">
        <f t="shared" si="2"/>
        <v>0</v>
      </c>
    </row>
    <row r="21" spans="1:14" x14ac:dyDescent="0.25">
      <c r="A21">
        <v>1</v>
      </c>
      <c r="B21">
        <v>19</v>
      </c>
      <c r="C21">
        <f t="shared" si="0"/>
        <v>19</v>
      </c>
      <c r="D21">
        <f t="shared" si="3"/>
        <v>3.2805000000000004</v>
      </c>
      <c r="E21">
        <f t="shared" si="1"/>
        <v>1900</v>
      </c>
      <c r="F21">
        <f t="shared" si="2"/>
        <v>0</v>
      </c>
    </row>
    <row r="22" spans="1:14" x14ac:dyDescent="0.25">
      <c r="A22">
        <v>1</v>
      </c>
      <c r="B22">
        <v>20</v>
      </c>
      <c r="C22">
        <f t="shared" si="0"/>
        <v>20</v>
      </c>
      <c r="D22">
        <f t="shared" si="3"/>
        <v>3.3000000000000003</v>
      </c>
      <c r="E22">
        <f t="shared" si="1"/>
        <v>2000</v>
      </c>
      <c r="F22">
        <f t="shared" si="2"/>
        <v>0</v>
      </c>
    </row>
    <row r="23" spans="1:14" x14ac:dyDescent="0.25">
      <c r="A23">
        <v>1</v>
      </c>
      <c r="B23">
        <v>21</v>
      </c>
      <c r="C23">
        <f t="shared" si="0"/>
        <v>21</v>
      </c>
      <c r="D23">
        <f t="shared" si="3"/>
        <v>3.3205000000000005</v>
      </c>
      <c r="E23">
        <f t="shared" si="1"/>
        <v>2100</v>
      </c>
      <c r="F23">
        <f t="shared" si="2"/>
        <v>0</v>
      </c>
    </row>
    <row r="24" spans="1:14" x14ac:dyDescent="0.25">
      <c r="A24">
        <v>1</v>
      </c>
      <c r="B24">
        <v>22</v>
      </c>
      <c r="C24">
        <f t="shared" si="0"/>
        <v>22</v>
      </c>
      <c r="D24">
        <f t="shared" si="3"/>
        <v>3.3420000000000005</v>
      </c>
      <c r="E24">
        <f t="shared" si="1"/>
        <v>2200</v>
      </c>
      <c r="F24">
        <f t="shared" si="2"/>
        <v>0</v>
      </c>
    </row>
    <row r="25" spans="1:14" x14ac:dyDescent="0.25">
      <c r="A25">
        <v>1</v>
      </c>
      <c r="B25">
        <v>23</v>
      </c>
      <c r="C25">
        <f t="shared" si="0"/>
        <v>23</v>
      </c>
      <c r="D25">
        <f t="shared" si="3"/>
        <v>3.3645000000000005</v>
      </c>
      <c r="E25">
        <f t="shared" si="1"/>
        <v>2300</v>
      </c>
      <c r="F25">
        <f t="shared" si="2"/>
        <v>0</v>
      </c>
    </row>
    <row r="26" spans="1:14" x14ac:dyDescent="0.25">
      <c r="A26">
        <v>1</v>
      </c>
      <c r="B26">
        <v>24</v>
      </c>
      <c r="C26">
        <f t="shared" si="0"/>
        <v>24</v>
      </c>
      <c r="D26">
        <f t="shared" si="3"/>
        <v>3.3880000000000003</v>
      </c>
      <c r="E26">
        <f t="shared" si="1"/>
        <v>2400</v>
      </c>
      <c r="F26">
        <f t="shared" si="2"/>
        <v>0</v>
      </c>
      <c r="N26">
        <v>1000</v>
      </c>
    </row>
    <row r="27" spans="1:14" x14ac:dyDescent="0.25">
      <c r="A27">
        <v>0</v>
      </c>
      <c r="B27">
        <v>25</v>
      </c>
      <c r="C27">
        <f t="shared" si="0"/>
        <v>25</v>
      </c>
      <c r="D27">
        <f t="shared" si="3"/>
        <v>3.4125000000000005</v>
      </c>
      <c r="E27">
        <f t="shared" si="1"/>
        <v>0</v>
      </c>
      <c r="F27">
        <f t="shared" si="2"/>
        <v>0</v>
      </c>
    </row>
    <row r="28" spans="1:14" x14ac:dyDescent="0.25">
      <c r="A28">
        <v>0</v>
      </c>
      <c r="B28">
        <v>26</v>
      </c>
      <c r="C28">
        <f t="shared" si="0"/>
        <v>25</v>
      </c>
      <c r="D28">
        <f t="shared" si="3"/>
        <v>3.4375000000000004</v>
      </c>
      <c r="E28">
        <f t="shared" si="1"/>
        <v>0</v>
      </c>
      <c r="F28">
        <f t="shared" si="2"/>
        <v>0</v>
      </c>
    </row>
    <row r="29" spans="1:14" x14ac:dyDescent="0.25">
      <c r="A29">
        <v>0</v>
      </c>
      <c r="B29">
        <v>27</v>
      </c>
      <c r="C29">
        <f t="shared" ref="C29:C45" si="4">C28+A28</f>
        <v>25</v>
      </c>
      <c r="D29">
        <f t="shared" si="3"/>
        <v>3.4625000000000004</v>
      </c>
      <c r="E29">
        <f t="shared" ref="E29:E45" si="5">IF(A29&gt;0,A29*C29*100,0)</f>
        <v>0</v>
      </c>
      <c r="F29">
        <f t="shared" ref="F29:F45" si="6">IF(A29&lt;0,A29*C29*100,0)</f>
        <v>0</v>
      </c>
    </row>
    <row r="30" spans="1:14" x14ac:dyDescent="0.25">
      <c r="A30">
        <v>0</v>
      </c>
      <c r="B30">
        <v>28</v>
      </c>
      <c r="C30">
        <f t="shared" si="4"/>
        <v>25</v>
      </c>
      <c r="D30">
        <f t="shared" si="3"/>
        <v>3.4875000000000003</v>
      </c>
      <c r="E30">
        <f t="shared" si="5"/>
        <v>0</v>
      </c>
      <c r="F30">
        <f t="shared" si="6"/>
        <v>0</v>
      </c>
    </row>
    <row r="31" spans="1:14" x14ac:dyDescent="0.25">
      <c r="A31">
        <v>0</v>
      </c>
      <c r="B31">
        <v>29</v>
      </c>
      <c r="C31">
        <f t="shared" si="4"/>
        <v>25</v>
      </c>
      <c r="D31">
        <f t="shared" si="3"/>
        <v>3.5125000000000002</v>
      </c>
      <c r="E31">
        <f t="shared" si="5"/>
        <v>0</v>
      </c>
      <c r="F31">
        <f t="shared" si="6"/>
        <v>0</v>
      </c>
    </row>
    <row r="32" spans="1:14" x14ac:dyDescent="0.25">
      <c r="A32">
        <v>0</v>
      </c>
      <c r="B32">
        <v>30</v>
      </c>
      <c r="C32">
        <f t="shared" si="4"/>
        <v>25</v>
      </c>
      <c r="D32">
        <f t="shared" si="3"/>
        <v>3.5375000000000001</v>
      </c>
      <c r="E32">
        <f t="shared" si="5"/>
        <v>0</v>
      </c>
      <c r="F32">
        <f t="shared" si="6"/>
        <v>0</v>
      </c>
    </row>
    <row r="33" spans="1:6" x14ac:dyDescent="0.25">
      <c r="A33">
        <v>0</v>
      </c>
      <c r="B33">
        <v>31</v>
      </c>
      <c r="C33">
        <f t="shared" si="4"/>
        <v>25</v>
      </c>
      <c r="D33">
        <f t="shared" si="3"/>
        <v>3.5625</v>
      </c>
      <c r="E33">
        <f t="shared" si="5"/>
        <v>0</v>
      </c>
      <c r="F33">
        <f t="shared" si="6"/>
        <v>0</v>
      </c>
    </row>
    <row r="34" spans="1:6" x14ac:dyDescent="0.25">
      <c r="A34">
        <v>0</v>
      </c>
      <c r="B34">
        <v>32</v>
      </c>
      <c r="C34">
        <f t="shared" si="4"/>
        <v>25</v>
      </c>
      <c r="D34">
        <f t="shared" si="3"/>
        <v>3.5874999999999999</v>
      </c>
      <c r="E34">
        <f t="shared" si="5"/>
        <v>0</v>
      </c>
      <c r="F34">
        <f t="shared" si="6"/>
        <v>0</v>
      </c>
    </row>
    <row r="35" spans="1:6" x14ac:dyDescent="0.25">
      <c r="A35">
        <v>0</v>
      </c>
      <c r="B35">
        <v>33</v>
      </c>
      <c r="C35">
        <f t="shared" si="4"/>
        <v>25</v>
      </c>
      <c r="D35">
        <f t="shared" si="3"/>
        <v>3.6124999999999998</v>
      </c>
      <c r="E35">
        <f t="shared" si="5"/>
        <v>0</v>
      </c>
      <c r="F35">
        <f t="shared" si="6"/>
        <v>0</v>
      </c>
    </row>
    <row r="36" spans="1:6" x14ac:dyDescent="0.25">
      <c r="A36">
        <v>0</v>
      </c>
      <c r="B36">
        <v>34</v>
      </c>
      <c r="C36">
        <f t="shared" si="4"/>
        <v>25</v>
      </c>
      <c r="D36">
        <f t="shared" si="3"/>
        <v>3.6374999999999997</v>
      </c>
      <c r="E36">
        <f t="shared" si="5"/>
        <v>0</v>
      </c>
      <c r="F36">
        <f t="shared" si="6"/>
        <v>0</v>
      </c>
    </row>
    <row r="37" spans="1:6" x14ac:dyDescent="0.25">
      <c r="A37">
        <v>0</v>
      </c>
      <c r="B37">
        <v>35</v>
      </c>
      <c r="C37">
        <f t="shared" si="4"/>
        <v>25</v>
      </c>
      <c r="D37">
        <f t="shared" si="3"/>
        <v>3.6624999999999996</v>
      </c>
      <c r="E37">
        <f t="shared" si="5"/>
        <v>0</v>
      </c>
      <c r="F37">
        <f t="shared" si="6"/>
        <v>0</v>
      </c>
    </row>
    <row r="38" spans="1:6" x14ac:dyDescent="0.25">
      <c r="A38">
        <v>0</v>
      </c>
      <c r="B38">
        <v>36</v>
      </c>
      <c r="C38">
        <f t="shared" si="4"/>
        <v>25</v>
      </c>
      <c r="D38">
        <f t="shared" si="3"/>
        <v>3.6874999999999996</v>
      </c>
      <c r="E38">
        <f t="shared" si="5"/>
        <v>0</v>
      </c>
      <c r="F38">
        <f t="shared" si="6"/>
        <v>0</v>
      </c>
    </row>
    <row r="39" spans="1:6" x14ac:dyDescent="0.25">
      <c r="A39">
        <v>0</v>
      </c>
      <c r="B39">
        <v>37</v>
      </c>
      <c r="C39">
        <f t="shared" si="4"/>
        <v>25</v>
      </c>
      <c r="D39">
        <f t="shared" si="3"/>
        <v>3.7124999999999995</v>
      </c>
      <c r="E39">
        <f t="shared" si="5"/>
        <v>0</v>
      </c>
      <c r="F39">
        <f t="shared" si="6"/>
        <v>0</v>
      </c>
    </row>
    <row r="40" spans="1:6" x14ac:dyDescent="0.25">
      <c r="A40">
        <v>0</v>
      </c>
      <c r="B40">
        <v>38</v>
      </c>
      <c r="C40">
        <f t="shared" si="4"/>
        <v>25</v>
      </c>
      <c r="D40">
        <f t="shared" si="3"/>
        <v>3.7374999999999994</v>
      </c>
      <c r="E40">
        <f t="shared" si="5"/>
        <v>0</v>
      </c>
      <c r="F40">
        <f t="shared" si="6"/>
        <v>0</v>
      </c>
    </row>
    <row r="41" spans="1:6" x14ac:dyDescent="0.25">
      <c r="A41">
        <v>0</v>
      </c>
      <c r="B41">
        <v>39</v>
      </c>
      <c r="C41">
        <f t="shared" si="4"/>
        <v>25</v>
      </c>
      <c r="D41">
        <f t="shared" si="3"/>
        <v>3.7624999999999993</v>
      </c>
      <c r="E41">
        <f t="shared" si="5"/>
        <v>0</v>
      </c>
      <c r="F41">
        <f t="shared" si="6"/>
        <v>0</v>
      </c>
    </row>
    <row r="42" spans="1:6" x14ac:dyDescent="0.25">
      <c r="A42">
        <v>0</v>
      </c>
      <c r="B42">
        <v>40</v>
      </c>
      <c r="C42">
        <f t="shared" si="4"/>
        <v>25</v>
      </c>
      <c r="D42">
        <f t="shared" si="3"/>
        <v>3.7874999999999992</v>
      </c>
      <c r="E42">
        <f t="shared" si="5"/>
        <v>0</v>
      </c>
      <c r="F42">
        <f t="shared" si="6"/>
        <v>0</v>
      </c>
    </row>
    <row r="43" spans="1:6" x14ac:dyDescent="0.25">
      <c r="A43">
        <v>0</v>
      </c>
      <c r="B43">
        <v>41</v>
      </c>
      <c r="C43">
        <f t="shared" si="4"/>
        <v>25</v>
      </c>
      <c r="D43">
        <f t="shared" si="3"/>
        <v>3.8124999999999991</v>
      </c>
      <c r="E43">
        <f t="shared" si="5"/>
        <v>0</v>
      </c>
      <c r="F43">
        <f t="shared" si="6"/>
        <v>0</v>
      </c>
    </row>
    <row r="44" spans="1:6" x14ac:dyDescent="0.25">
      <c r="A44">
        <v>0</v>
      </c>
      <c r="B44">
        <v>42</v>
      </c>
      <c r="C44">
        <f t="shared" si="4"/>
        <v>25</v>
      </c>
      <c r="D44">
        <f t="shared" si="3"/>
        <v>3.837499999999999</v>
      </c>
      <c r="E44">
        <f t="shared" si="5"/>
        <v>0</v>
      </c>
      <c r="F44">
        <f t="shared" si="6"/>
        <v>0</v>
      </c>
    </row>
    <row r="45" spans="1:6" x14ac:dyDescent="0.25">
      <c r="A45">
        <v>0</v>
      </c>
      <c r="B45">
        <v>43</v>
      </c>
      <c r="C45">
        <f t="shared" si="4"/>
        <v>25</v>
      </c>
      <c r="D45">
        <f t="shared" si="3"/>
        <v>3.8624999999999989</v>
      </c>
      <c r="E45">
        <f t="shared" si="5"/>
        <v>0</v>
      </c>
      <c r="F45">
        <f t="shared" si="6"/>
        <v>0</v>
      </c>
    </row>
    <row r="46" spans="1:6" x14ac:dyDescent="0.25">
      <c r="A46">
        <v>0</v>
      </c>
      <c r="B46">
        <v>44</v>
      </c>
      <c r="C46">
        <f t="shared" ref="C46:C91" si="7">C45+A45</f>
        <v>25</v>
      </c>
      <c r="D46">
        <f t="shared" si="3"/>
        <v>3.8874999999999988</v>
      </c>
      <c r="E46">
        <f t="shared" ref="E46:E80" si="8">IF(A46&gt;0,A46*C46*100,0)</f>
        <v>0</v>
      </c>
      <c r="F46">
        <f t="shared" ref="F46:F106" si="9">IF(A46&lt;0,A46*C46*100,0)</f>
        <v>0</v>
      </c>
    </row>
    <row r="47" spans="1:6" x14ac:dyDescent="0.25">
      <c r="A47">
        <v>0</v>
      </c>
      <c r="B47">
        <v>45</v>
      </c>
      <c r="C47">
        <f t="shared" si="7"/>
        <v>25</v>
      </c>
      <c r="D47">
        <f t="shared" si="3"/>
        <v>3.9124999999999988</v>
      </c>
      <c r="E47">
        <f t="shared" si="8"/>
        <v>0</v>
      </c>
      <c r="F47">
        <f t="shared" si="9"/>
        <v>0</v>
      </c>
    </row>
    <row r="48" spans="1:6" x14ac:dyDescent="0.25">
      <c r="A48">
        <v>0</v>
      </c>
      <c r="B48">
        <v>46</v>
      </c>
      <c r="C48">
        <f t="shared" si="7"/>
        <v>25</v>
      </c>
      <c r="D48">
        <f t="shared" si="3"/>
        <v>3.9374999999999987</v>
      </c>
      <c r="E48">
        <f t="shared" si="8"/>
        <v>0</v>
      </c>
      <c r="F48">
        <f t="shared" si="9"/>
        <v>0</v>
      </c>
    </row>
    <row r="49" spans="1:6" x14ac:dyDescent="0.25">
      <c r="A49">
        <v>0</v>
      </c>
      <c r="B49">
        <v>47</v>
      </c>
      <c r="C49">
        <f t="shared" si="7"/>
        <v>25</v>
      </c>
      <c r="D49">
        <f t="shared" si="3"/>
        <v>3.9624999999999986</v>
      </c>
      <c r="E49">
        <f t="shared" si="8"/>
        <v>0</v>
      </c>
      <c r="F49">
        <f t="shared" si="9"/>
        <v>0</v>
      </c>
    </row>
    <row r="50" spans="1:6" x14ac:dyDescent="0.25">
      <c r="A50">
        <v>0</v>
      </c>
      <c r="B50">
        <v>48</v>
      </c>
      <c r="C50">
        <f t="shared" si="7"/>
        <v>25</v>
      </c>
      <c r="D50">
        <f t="shared" si="3"/>
        <v>3.9874999999999985</v>
      </c>
      <c r="E50">
        <f t="shared" si="8"/>
        <v>0</v>
      </c>
      <c r="F50">
        <f t="shared" si="9"/>
        <v>0</v>
      </c>
    </row>
    <row r="51" spans="1:6" x14ac:dyDescent="0.25">
      <c r="A51">
        <v>0</v>
      </c>
      <c r="B51">
        <v>49</v>
      </c>
      <c r="C51">
        <f t="shared" si="7"/>
        <v>25</v>
      </c>
      <c r="D51">
        <f t="shared" si="3"/>
        <v>4.0124999999999984</v>
      </c>
      <c r="E51">
        <f t="shared" si="8"/>
        <v>0</v>
      </c>
      <c r="F51">
        <f t="shared" si="9"/>
        <v>0</v>
      </c>
    </row>
    <row r="52" spans="1:6" x14ac:dyDescent="0.25">
      <c r="A52">
        <v>0</v>
      </c>
      <c r="B52">
        <v>50</v>
      </c>
      <c r="C52">
        <f t="shared" si="7"/>
        <v>25</v>
      </c>
      <c r="D52">
        <f t="shared" si="3"/>
        <v>4.0374999999999988</v>
      </c>
      <c r="E52">
        <f t="shared" si="8"/>
        <v>0</v>
      </c>
      <c r="F52">
        <f t="shared" si="9"/>
        <v>0</v>
      </c>
    </row>
    <row r="53" spans="1:6" x14ac:dyDescent="0.25">
      <c r="A53">
        <v>0</v>
      </c>
      <c r="B53">
        <v>51</v>
      </c>
      <c r="C53">
        <f t="shared" si="7"/>
        <v>25</v>
      </c>
      <c r="D53">
        <f t="shared" si="3"/>
        <v>4.0624999999999991</v>
      </c>
      <c r="E53">
        <f t="shared" si="8"/>
        <v>0</v>
      </c>
      <c r="F53">
        <f t="shared" si="9"/>
        <v>0</v>
      </c>
    </row>
    <row r="54" spans="1:6" x14ac:dyDescent="0.25">
      <c r="A54">
        <v>0</v>
      </c>
      <c r="B54">
        <v>52</v>
      </c>
      <c r="C54">
        <f t="shared" si="7"/>
        <v>25</v>
      </c>
      <c r="D54">
        <f t="shared" si="3"/>
        <v>4.0874999999999995</v>
      </c>
      <c r="E54">
        <f t="shared" si="8"/>
        <v>0</v>
      </c>
      <c r="F54">
        <f t="shared" si="9"/>
        <v>0</v>
      </c>
    </row>
    <row r="55" spans="1:6" x14ac:dyDescent="0.25">
      <c r="A55">
        <v>0</v>
      </c>
      <c r="B55">
        <v>53</v>
      </c>
      <c r="C55">
        <f t="shared" si="7"/>
        <v>25</v>
      </c>
      <c r="D55">
        <f t="shared" si="3"/>
        <v>4.1124999999999998</v>
      </c>
      <c r="E55">
        <f t="shared" si="8"/>
        <v>0</v>
      </c>
      <c r="F55">
        <f t="shared" si="9"/>
        <v>0</v>
      </c>
    </row>
    <row r="56" spans="1:6" x14ac:dyDescent="0.25">
      <c r="A56">
        <v>0</v>
      </c>
      <c r="B56">
        <v>54</v>
      </c>
      <c r="C56">
        <f t="shared" si="7"/>
        <v>25</v>
      </c>
      <c r="D56">
        <f t="shared" si="3"/>
        <v>4.1375000000000002</v>
      </c>
      <c r="E56">
        <f t="shared" si="8"/>
        <v>0</v>
      </c>
      <c r="F56">
        <f t="shared" si="9"/>
        <v>0</v>
      </c>
    </row>
    <row r="57" spans="1:6" x14ac:dyDescent="0.25">
      <c r="A57">
        <v>0</v>
      </c>
      <c r="B57">
        <v>55</v>
      </c>
      <c r="C57">
        <f t="shared" si="7"/>
        <v>25</v>
      </c>
      <c r="D57">
        <f t="shared" si="3"/>
        <v>4.1625000000000005</v>
      </c>
      <c r="E57">
        <f t="shared" si="8"/>
        <v>0</v>
      </c>
      <c r="F57">
        <f t="shared" si="9"/>
        <v>0</v>
      </c>
    </row>
    <row r="58" spans="1:6" x14ac:dyDescent="0.25">
      <c r="A58">
        <v>0</v>
      </c>
      <c r="B58">
        <v>56</v>
      </c>
      <c r="C58">
        <f t="shared" si="7"/>
        <v>25</v>
      </c>
      <c r="D58">
        <f t="shared" si="3"/>
        <v>4.1875000000000009</v>
      </c>
      <c r="E58">
        <f t="shared" si="8"/>
        <v>0</v>
      </c>
      <c r="F58">
        <f t="shared" si="9"/>
        <v>0</v>
      </c>
    </row>
    <row r="59" spans="1:6" x14ac:dyDescent="0.25">
      <c r="A59">
        <v>0</v>
      </c>
      <c r="B59">
        <v>57</v>
      </c>
      <c r="C59">
        <f t="shared" si="7"/>
        <v>25</v>
      </c>
      <c r="D59">
        <f t="shared" si="3"/>
        <v>4.2125000000000012</v>
      </c>
      <c r="E59">
        <f t="shared" si="8"/>
        <v>0</v>
      </c>
      <c r="F59">
        <f t="shared" si="9"/>
        <v>0</v>
      </c>
    </row>
    <row r="60" spans="1:6" x14ac:dyDescent="0.25">
      <c r="A60">
        <v>0</v>
      </c>
      <c r="B60">
        <v>58</v>
      </c>
      <c r="C60">
        <f t="shared" si="7"/>
        <v>25</v>
      </c>
      <c r="D60">
        <f t="shared" si="3"/>
        <v>4.2375000000000016</v>
      </c>
      <c r="E60">
        <f t="shared" si="8"/>
        <v>0</v>
      </c>
      <c r="F60">
        <f t="shared" si="9"/>
        <v>0</v>
      </c>
    </row>
    <row r="61" spans="1:6" x14ac:dyDescent="0.25">
      <c r="A61">
        <v>0</v>
      </c>
      <c r="B61">
        <v>59</v>
      </c>
      <c r="C61">
        <f t="shared" si="7"/>
        <v>25</v>
      </c>
      <c r="D61">
        <f t="shared" si="3"/>
        <v>4.262500000000002</v>
      </c>
      <c r="E61">
        <f t="shared" si="8"/>
        <v>0</v>
      </c>
      <c r="F61">
        <f t="shared" si="9"/>
        <v>0</v>
      </c>
    </row>
    <row r="62" spans="1:6" x14ac:dyDescent="0.25">
      <c r="A62">
        <v>0</v>
      </c>
      <c r="B62">
        <v>60</v>
      </c>
      <c r="C62">
        <f t="shared" si="7"/>
        <v>25</v>
      </c>
      <c r="D62">
        <f t="shared" si="3"/>
        <v>4.2875000000000023</v>
      </c>
      <c r="E62">
        <f t="shared" si="8"/>
        <v>0</v>
      </c>
      <c r="F62">
        <f t="shared" si="9"/>
        <v>0</v>
      </c>
    </row>
    <row r="63" spans="1:6" x14ac:dyDescent="0.25">
      <c r="A63">
        <v>0</v>
      </c>
      <c r="B63">
        <v>61</v>
      </c>
      <c r="C63">
        <f t="shared" si="7"/>
        <v>25</v>
      </c>
      <c r="D63">
        <f t="shared" si="3"/>
        <v>4.3125000000000027</v>
      </c>
      <c r="E63">
        <f t="shared" si="8"/>
        <v>0</v>
      </c>
      <c r="F63">
        <f t="shared" si="9"/>
        <v>0</v>
      </c>
    </row>
    <row r="64" spans="1:6" x14ac:dyDescent="0.25">
      <c r="A64">
        <v>0</v>
      </c>
      <c r="B64">
        <v>62</v>
      </c>
      <c r="C64">
        <f t="shared" si="7"/>
        <v>25</v>
      </c>
      <c r="D64">
        <f t="shared" si="3"/>
        <v>4.337500000000003</v>
      </c>
      <c r="E64">
        <f t="shared" si="8"/>
        <v>0</v>
      </c>
      <c r="F64">
        <f t="shared" si="9"/>
        <v>0</v>
      </c>
    </row>
    <row r="65" spans="1:9" x14ac:dyDescent="0.25">
      <c r="A65">
        <v>0</v>
      </c>
      <c r="B65">
        <v>63</v>
      </c>
      <c r="C65">
        <f t="shared" si="7"/>
        <v>25</v>
      </c>
      <c r="D65">
        <f t="shared" si="3"/>
        <v>4.3625000000000034</v>
      </c>
      <c r="E65">
        <f t="shared" si="8"/>
        <v>0</v>
      </c>
      <c r="F65">
        <f t="shared" si="9"/>
        <v>0</v>
      </c>
    </row>
    <row r="66" spans="1:9" x14ac:dyDescent="0.25">
      <c r="A66">
        <v>0</v>
      </c>
      <c r="B66">
        <v>64</v>
      </c>
      <c r="C66">
        <f t="shared" ref="C66:C68" si="10">C65+A65</f>
        <v>25</v>
      </c>
      <c r="D66">
        <f t="shared" si="3"/>
        <v>4.3875000000000037</v>
      </c>
      <c r="E66">
        <f t="shared" ref="E66:E68" si="11">IF(A66&gt;0,A66*C66*100,0)</f>
        <v>0</v>
      </c>
      <c r="F66">
        <f t="shared" ref="F66:F68" si="12">IF(A66&lt;0,A66*C66*100,0)</f>
        <v>0</v>
      </c>
    </row>
    <row r="67" spans="1:9" x14ac:dyDescent="0.25">
      <c r="A67">
        <v>0</v>
      </c>
      <c r="B67">
        <v>65</v>
      </c>
      <c r="C67">
        <f t="shared" si="10"/>
        <v>25</v>
      </c>
      <c r="D67">
        <f t="shared" si="3"/>
        <v>4.4125000000000041</v>
      </c>
      <c r="E67">
        <f t="shared" si="11"/>
        <v>0</v>
      </c>
      <c r="F67">
        <f t="shared" si="12"/>
        <v>0</v>
      </c>
    </row>
    <row r="68" spans="1:9" x14ac:dyDescent="0.25">
      <c r="A68">
        <v>0</v>
      </c>
      <c r="B68">
        <v>66</v>
      </c>
      <c r="C68">
        <f t="shared" si="10"/>
        <v>25</v>
      </c>
      <c r="D68">
        <f t="shared" ref="D68:D106" si="13">(D67+(C67+0.5*A67)/1000)</f>
        <v>4.4375000000000044</v>
      </c>
      <c r="E68">
        <f t="shared" si="11"/>
        <v>0</v>
      </c>
      <c r="F68">
        <f t="shared" si="12"/>
        <v>0</v>
      </c>
    </row>
    <row r="69" spans="1:9" x14ac:dyDescent="0.25">
      <c r="A69">
        <v>0</v>
      </c>
      <c r="B69">
        <v>67</v>
      </c>
      <c r="C69">
        <f t="shared" ref="C69:C71" si="14">C68+A68</f>
        <v>25</v>
      </c>
      <c r="D69">
        <f t="shared" si="13"/>
        <v>4.4625000000000048</v>
      </c>
      <c r="E69">
        <f t="shared" ref="E69:E71" si="15">IF(A69&gt;0,A69*C69*100,0)</f>
        <v>0</v>
      </c>
      <c r="F69">
        <f t="shared" ref="F69:F71" si="16">IF(A69&lt;0,A69*C69*100,0)</f>
        <v>0</v>
      </c>
    </row>
    <row r="70" spans="1:9" x14ac:dyDescent="0.25">
      <c r="A70">
        <v>0</v>
      </c>
      <c r="B70">
        <v>68</v>
      </c>
      <c r="C70">
        <f t="shared" si="14"/>
        <v>25</v>
      </c>
      <c r="D70">
        <f t="shared" si="13"/>
        <v>4.4875000000000052</v>
      </c>
      <c r="E70">
        <f t="shared" si="15"/>
        <v>0</v>
      </c>
      <c r="F70">
        <f t="shared" si="16"/>
        <v>0</v>
      </c>
    </row>
    <row r="71" spans="1:9" x14ac:dyDescent="0.25">
      <c r="A71">
        <v>0</v>
      </c>
      <c r="B71">
        <v>69</v>
      </c>
      <c r="C71">
        <f t="shared" si="14"/>
        <v>25</v>
      </c>
      <c r="D71">
        <f t="shared" si="13"/>
        <v>4.5125000000000055</v>
      </c>
      <c r="E71">
        <f t="shared" si="15"/>
        <v>0</v>
      </c>
      <c r="F71">
        <f t="shared" si="16"/>
        <v>0</v>
      </c>
    </row>
    <row r="72" spans="1:9" x14ac:dyDescent="0.25">
      <c r="A72">
        <v>0</v>
      </c>
      <c r="B72">
        <v>70</v>
      </c>
      <c r="C72">
        <f t="shared" ref="C72:C80" si="17">C71+A71</f>
        <v>25</v>
      </c>
      <c r="D72">
        <f t="shared" si="13"/>
        <v>4.5375000000000059</v>
      </c>
      <c r="E72">
        <f t="shared" si="8"/>
        <v>0</v>
      </c>
      <c r="F72">
        <f t="shared" si="9"/>
        <v>0</v>
      </c>
    </row>
    <row r="73" spans="1:9" x14ac:dyDescent="0.25">
      <c r="A73">
        <v>0</v>
      </c>
      <c r="B73">
        <v>71</v>
      </c>
      <c r="C73">
        <f t="shared" si="17"/>
        <v>25</v>
      </c>
      <c r="D73">
        <f t="shared" si="13"/>
        <v>4.5625000000000062</v>
      </c>
      <c r="E73">
        <f t="shared" si="8"/>
        <v>0</v>
      </c>
      <c r="F73">
        <f t="shared" si="9"/>
        <v>0</v>
      </c>
    </row>
    <row r="74" spans="1:9" x14ac:dyDescent="0.25">
      <c r="A74">
        <v>0</v>
      </c>
      <c r="B74">
        <v>72</v>
      </c>
      <c r="C74">
        <f t="shared" si="17"/>
        <v>25</v>
      </c>
      <c r="D74">
        <f t="shared" si="13"/>
        <v>4.5875000000000066</v>
      </c>
      <c r="E74">
        <f t="shared" si="8"/>
        <v>0</v>
      </c>
      <c r="F74">
        <f t="shared" si="9"/>
        <v>0</v>
      </c>
      <c r="I74">
        <v>-1</v>
      </c>
    </row>
    <row r="75" spans="1:9" x14ac:dyDescent="0.25">
      <c r="A75">
        <v>0</v>
      </c>
      <c r="B75">
        <v>73</v>
      </c>
      <c r="C75">
        <f t="shared" si="17"/>
        <v>25</v>
      </c>
      <c r="D75">
        <f t="shared" si="13"/>
        <v>4.6125000000000069</v>
      </c>
      <c r="E75">
        <f t="shared" si="8"/>
        <v>0</v>
      </c>
      <c r="F75">
        <f t="shared" si="9"/>
        <v>0</v>
      </c>
    </row>
    <row r="76" spans="1:9" x14ac:dyDescent="0.25">
      <c r="A76">
        <v>0</v>
      </c>
      <c r="B76">
        <v>74</v>
      </c>
      <c r="C76">
        <f t="shared" si="17"/>
        <v>25</v>
      </c>
      <c r="D76">
        <f t="shared" si="13"/>
        <v>4.6375000000000073</v>
      </c>
      <c r="E76">
        <f t="shared" si="8"/>
        <v>0</v>
      </c>
      <c r="F76">
        <f t="shared" si="9"/>
        <v>0</v>
      </c>
    </row>
    <row r="77" spans="1:9" x14ac:dyDescent="0.25">
      <c r="A77">
        <v>0</v>
      </c>
      <c r="B77">
        <v>75</v>
      </c>
      <c r="C77">
        <f t="shared" si="17"/>
        <v>25</v>
      </c>
      <c r="D77">
        <f t="shared" si="13"/>
        <v>4.6625000000000076</v>
      </c>
      <c r="E77">
        <f t="shared" si="8"/>
        <v>0</v>
      </c>
      <c r="F77">
        <f t="shared" si="9"/>
        <v>0</v>
      </c>
    </row>
    <row r="78" spans="1:9" x14ac:dyDescent="0.25">
      <c r="A78">
        <v>0</v>
      </c>
      <c r="B78">
        <v>76</v>
      </c>
      <c r="C78">
        <f t="shared" si="17"/>
        <v>25</v>
      </c>
      <c r="D78">
        <f t="shared" si="13"/>
        <v>4.687500000000008</v>
      </c>
      <c r="E78">
        <f t="shared" si="8"/>
        <v>0</v>
      </c>
      <c r="F78">
        <f t="shared" si="9"/>
        <v>0</v>
      </c>
    </row>
    <row r="79" spans="1:9" x14ac:dyDescent="0.25">
      <c r="A79">
        <v>0</v>
      </c>
      <c r="B79">
        <v>77</v>
      </c>
      <c r="C79">
        <f t="shared" si="17"/>
        <v>25</v>
      </c>
      <c r="D79">
        <f t="shared" si="13"/>
        <v>4.7125000000000083</v>
      </c>
      <c r="E79">
        <f t="shared" si="8"/>
        <v>0</v>
      </c>
      <c r="F79">
        <f t="shared" si="9"/>
        <v>0</v>
      </c>
    </row>
    <row r="80" spans="1:9" x14ac:dyDescent="0.25">
      <c r="A80">
        <v>0</v>
      </c>
      <c r="B80">
        <v>78</v>
      </c>
      <c r="C80">
        <f t="shared" si="17"/>
        <v>25</v>
      </c>
      <c r="D80">
        <f t="shared" si="13"/>
        <v>4.7375000000000087</v>
      </c>
      <c r="E80">
        <f t="shared" si="8"/>
        <v>0</v>
      </c>
      <c r="F80">
        <f t="shared" si="9"/>
        <v>0</v>
      </c>
    </row>
    <row r="81" spans="1:6" x14ac:dyDescent="0.25">
      <c r="A81">
        <v>-1</v>
      </c>
      <c r="B81">
        <v>79</v>
      </c>
      <c r="C81">
        <f t="shared" si="7"/>
        <v>25</v>
      </c>
      <c r="D81">
        <f t="shared" si="13"/>
        <v>4.7625000000000091</v>
      </c>
      <c r="E81">
        <f t="shared" si="1"/>
        <v>0</v>
      </c>
      <c r="F81">
        <f t="shared" si="9"/>
        <v>-2500</v>
      </c>
    </row>
    <row r="82" spans="1:6" x14ac:dyDescent="0.25">
      <c r="A82">
        <v>-1</v>
      </c>
      <c r="B82">
        <v>80</v>
      </c>
      <c r="C82">
        <f t="shared" si="7"/>
        <v>24</v>
      </c>
      <c r="D82">
        <f t="shared" si="13"/>
        <v>4.7870000000000088</v>
      </c>
      <c r="E82">
        <f t="shared" si="1"/>
        <v>0</v>
      </c>
      <c r="F82">
        <f t="shared" si="9"/>
        <v>-2400</v>
      </c>
    </row>
    <row r="83" spans="1:6" x14ac:dyDescent="0.25">
      <c r="A83">
        <v>-1</v>
      </c>
      <c r="B83">
        <v>81</v>
      </c>
      <c r="C83">
        <f t="shared" si="7"/>
        <v>23</v>
      </c>
      <c r="D83">
        <f t="shared" si="13"/>
        <v>4.8105000000000091</v>
      </c>
      <c r="E83">
        <f t="shared" si="1"/>
        <v>0</v>
      </c>
      <c r="F83">
        <f t="shared" si="9"/>
        <v>-2300</v>
      </c>
    </row>
    <row r="84" spans="1:6" x14ac:dyDescent="0.25">
      <c r="A84">
        <v>-1</v>
      </c>
      <c r="B84">
        <v>82</v>
      </c>
      <c r="C84">
        <f t="shared" si="7"/>
        <v>22</v>
      </c>
      <c r="D84">
        <f t="shared" si="13"/>
        <v>4.8330000000000091</v>
      </c>
      <c r="E84">
        <f t="shared" si="1"/>
        <v>0</v>
      </c>
      <c r="F84">
        <f t="shared" si="9"/>
        <v>-2200</v>
      </c>
    </row>
    <row r="85" spans="1:6" x14ac:dyDescent="0.25">
      <c r="A85">
        <v>-1</v>
      </c>
      <c r="B85">
        <v>83</v>
      </c>
      <c r="C85">
        <f t="shared" si="7"/>
        <v>21</v>
      </c>
      <c r="D85">
        <f t="shared" si="13"/>
        <v>4.8545000000000087</v>
      </c>
      <c r="E85">
        <f t="shared" si="1"/>
        <v>0</v>
      </c>
      <c r="F85">
        <f t="shared" si="9"/>
        <v>-2100</v>
      </c>
    </row>
    <row r="86" spans="1:6" x14ac:dyDescent="0.25">
      <c r="A86">
        <v>-1</v>
      </c>
      <c r="B86">
        <v>84</v>
      </c>
      <c r="C86">
        <f t="shared" si="7"/>
        <v>20</v>
      </c>
      <c r="D86">
        <f t="shared" si="13"/>
        <v>4.8750000000000089</v>
      </c>
      <c r="E86">
        <f t="shared" si="1"/>
        <v>0</v>
      </c>
      <c r="F86">
        <f t="shared" si="9"/>
        <v>-2000</v>
      </c>
    </row>
    <row r="87" spans="1:6" x14ac:dyDescent="0.25">
      <c r="A87">
        <v>-1</v>
      </c>
      <c r="B87">
        <v>85</v>
      </c>
      <c r="C87">
        <f t="shared" si="7"/>
        <v>19</v>
      </c>
      <c r="D87">
        <f t="shared" si="13"/>
        <v>4.8945000000000087</v>
      </c>
      <c r="E87">
        <f t="shared" ref="E87:E91" si="18">IF(A87&gt;0,A87*C87*100,0)</f>
        <v>0</v>
      </c>
      <c r="F87">
        <f t="shared" si="9"/>
        <v>-1900</v>
      </c>
    </row>
    <row r="88" spans="1:6" x14ac:dyDescent="0.25">
      <c r="A88">
        <v>-1</v>
      </c>
      <c r="B88">
        <v>86</v>
      </c>
      <c r="C88">
        <f t="shared" si="7"/>
        <v>18</v>
      </c>
      <c r="D88">
        <f t="shared" si="13"/>
        <v>4.9130000000000091</v>
      </c>
      <c r="E88">
        <f t="shared" si="18"/>
        <v>0</v>
      </c>
      <c r="F88">
        <f t="shared" si="9"/>
        <v>-1800</v>
      </c>
    </row>
    <row r="89" spans="1:6" x14ac:dyDescent="0.25">
      <c r="A89">
        <v>-1</v>
      </c>
      <c r="B89">
        <v>87</v>
      </c>
      <c r="C89">
        <f t="shared" si="7"/>
        <v>17</v>
      </c>
      <c r="D89">
        <f t="shared" si="13"/>
        <v>4.9305000000000092</v>
      </c>
      <c r="E89">
        <f t="shared" si="18"/>
        <v>0</v>
      </c>
      <c r="F89">
        <f t="shared" si="9"/>
        <v>-1700</v>
      </c>
    </row>
    <row r="90" spans="1:6" x14ac:dyDescent="0.25">
      <c r="A90">
        <v>-1</v>
      </c>
      <c r="B90">
        <v>88</v>
      </c>
      <c r="C90">
        <f t="shared" si="7"/>
        <v>16</v>
      </c>
      <c r="D90">
        <f t="shared" si="13"/>
        <v>4.9470000000000089</v>
      </c>
      <c r="E90">
        <f t="shared" si="18"/>
        <v>0</v>
      </c>
      <c r="F90">
        <f t="shared" si="9"/>
        <v>-1600</v>
      </c>
    </row>
    <row r="91" spans="1:6" x14ac:dyDescent="0.25">
      <c r="A91">
        <v>-1</v>
      </c>
      <c r="B91">
        <v>89</v>
      </c>
      <c r="C91">
        <f t="shared" si="7"/>
        <v>15</v>
      </c>
      <c r="D91">
        <f t="shared" si="13"/>
        <v>4.9625000000000092</v>
      </c>
      <c r="E91">
        <f t="shared" si="18"/>
        <v>0</v>
      </c>
      <c r="F91">
        <f t="shared" si="9"/>
        <v>-1500</v>
      </c>
    </row>
    <row r="92" spans="1:6" x14ac:dyDescent="0.25">
      <c r="A92">
        <v>-1</v>
      </c>
      <c r="B92">
        <v>90</v>
      </c>
      <c r="C92">
        <f t="shared" ref="C92:C103" si="19">C91+A91</f>
        <v>14</v>
      </c>
      <c r="D92">
        <f t="shared" si="13"/>
        <v>4.9770000000000092</v>
      </c>
      <c r="E92">
        <f t="shared" ref="E92:E103" si="20">IF(A92&gt;0,A92*C92*100,0)</f>
        <v>0</v>
      </c>
      <c r="F92">
        <f t="shared" si="9"/>
        <v>-1400</v>
      </c>
    </row>
    <row r="93" spans="1:6" x14ac:dyDescent="0.25">
      <c r="A93">
        <v>-1</v>
      </c>
      <c r="B93">
        <v>91</v>
      </c>
      <c r="C93">
        <f t="shared" si="19"/>
        <v>13</v>
      </c>
      <c r="D93">
        <f t="shared" si="13"/>
        <v>4.9905000000000088</v>
      </c>
      <c r="E93">
        <f t="shared" si="20"/>
        <v>0</v>
      </c>
      <c r="F93">
        <f t="shared" si="9"/>
        <v>-1300</v>
      </c>
    </row>
    <row r="94" spans="1:6" x14ac:dyDescent="0.25">
      <c r="A94">
        <v>-1</v>
      </c>
      <c r="B94">
        <v>92</v>
      </c>
      <c r="C94">
        <f t="shared" si="19"/>
        <v>12</v>
      </c>
      <c r="D94">
        <f t="shared" si="13"/>
        <v>5.003000000000009</v>
      </c>
      <c r="E94">
        <f t="shared" si="20"/>
        <v>0</v>
      </c>
      <c r="F94">
        <f t="shared" si="9"/>
        <v>-1200</v>
      </c>
    </row>
    <row r="95" spans="1:6" x14ac:dyDescent="0.25">
      <c r="A95">
        <v>-1</v>
      </c>
      <c r="B95">
        <v>93</v>
      </c>
      <c r="C95">
        <f t="shared" si="19"/>
        <v>11</v>
      </c>
      <c r="D95">
        <f t="shared" si="13"/>
        <v>5.0145000000000088</v>
      </c>
      <c r="E95">
        <f t="shared" si="20"/>
        <v>0</v>
      </c>
      <c r="F95">
        <f t="shared" si="9"/>
        <v>-1100</v>
      </c>
    </row>
    <row r="96" spans="1:6" x14ac:dyDescent="0.25">
      <c r="A96">
        <v>-1</v>
      </c>
      <c r="B96">
        <v>94</v>
      </c>
      <c r="C96">
        <f t="shared" si="19"/>
        <v>10</v>
      </c>
      <c r="D96">
        <f t="shared" si="13"/>
        <v>5.0250000000000092</v>
      </c>
      <c r="E96">
        <f t="shared" si="20"/>
        <v>0</v>
      </c>
      <c r="F96">
        <f t="shared" si="9"/>
        <v>-1000</v>
      </c>
    </row>
    <row r="97" spans="1:6" x14ac:dyDescent="0.25">
      <c r="A97">
        <v>-1</v>
      </c>
      <c r="B97">
        <v>95</v>
      </c>
      <c r="C97">
        <f t="shared" si="19"/>
        <v>9</v>
      </c>
      <c r="D97">
        <f t="shared" si="13"/>
        <v>5.0345000000000093</v>
      </c>
      <c r="E97">
        <f t="shared" si="20"/>
        <v>0</v>
      </c>
      <c r="F97">
        <f t="shared" si="9"/>
        <v>-900</v>
      </c>
    </row>
    <row r="98" spans="1:6" x14ac:dyDescent="0.25">
      <c r="A98">
        <v>-1</v>
      </c>
      <c r="B98">
        <v>96</v>
      </c>
      <c r="C98">
        <f t="shared" si="19"/>
        <v>8</v>
      </c>
      <c r="D98">
        <f t="shared" si="13"/>
        <v>5.043000000000009</v>
      </c>
      <c r="E98">
        <f t="shared" si="20"/>
        <v>0</v>
      </c>
      <c r="F98">
        <f t="shared" si="9"/>
        <v>-800</v>
      </c>
    </row>
    <row r="99" spans="1:6" x14ac:dyDescent="0.25">
      <c r="A99">
        <v>-1</v>
      </c>
      <c r="B99">
        <v>97</v>
      </c>
      <c r="C99">
        <f t="shared" si="19"/>
        <v>7</v>
      </c>
      <c r="D99">
        <f t="shared" si="13"/>
        <v>5.0505000000000093</v>
      </c>
      <c r="E99">
        <f t="shared" si="20"/>
        <v>0</v>
      </c>
      <c r="F99">
        <f t="shared" si="9"/>
        <v>-700</v>
      </c>
    </row>
    <row r="100" spans="1:6" x14ac:dyDescent="0.25">
      <c r="A100">
        <v>-1</v>
      </c>
      <c r="B100">
        <v>98</v>
      </c>
      <c r="C100">
        <f t="shared" si="19"/>
        <v>6</v>
      </c>
      <c r="D100">
        <f t="shared" si="13"/>
        <v>5.0570000000000093</v>
      </c>
      <c r="E100">
        <f t="shared" si="20"/>
        <v>0</v>
      </c>
      <c r="F100">
        <f t="shared" si="9"/>
        <v>-600</v>
      </c>
    </row>
    <row r="101" spans="1:6" x14ac:dyDescent="0.25">
      <c r="A101">
        <v>-1</v>
      </c>
      <c r="B101">
        <v>99</v>
      </c>
      <c r="C101">
        <f t="shared" si="19"/>
        <v>5</v>
      </c>
      <c r="D101">
        <f t="shared" si="13"/>
        <v>5.0625000000000089</v>
      </c>
      <c r="E101">
        <f t="shared" si="20"/>
        <v>0</v>
      </c>
      <c r="F101">
        <f t="shared" si="9"/>
        <v>-500</v>
      </c>
    </row>
    <row r="102" spans="1:6" x14ac:dyDescent="0.25">
      <c r="A102">
        <v>-1</v>
      </c>
      <c r="B102">
        <v>100</v>
      </c>
      <c r="C102">
        <f t="shared" si="19"/>
        <v>4</v>
      </c>
      <c r="D102">
        <f t="shared" si="13"/>
        <v>5.0670000000000091</v>
      </c>
      <c r="E102">
        <f t="shared" si="20"/>
        <v>0</v>
      </c>
      <c r="F102">
        <f t="shared" si="9"/>
        <v>-400</v>
      </c>
    </row>
    <row r="103" spans="1:6" x14ac:dyDescent="0.25">
      <c r="A103">
        <v>-1</v>
      </c>
      <c r="B103">
        <v>101</v>
      </c>
      <c r="C103">
        <f t="shared" si="19"/>
        <v>3</v>
      </c>
      <c r="D103">
        <f t="shared" si="13"/>
        <v>5.0705000000000089</v>
      </c>
      <c r="E103">
        <f t="shared" si="20"/>
        <v>0</v>
      </c>
      <c r="F103">
        <f t="shared" si="9"/>
        <v>-300</v>
      </c>
    </row>
    <row r="104" spans="1:6" x14ac:dyDescent="0.25">
      <c r="A104">
        <v>-1</v>
      </c>
      <c r="B104">
        <v>102</v>
      </c>
      <c r="C104">
        <f t="shared" ref="C104:C106" si="21">C103+A103</f>
        <v>2</v>
      </c>
      <c r="D104">
        <f t="shared" si="13"/>
        <v>5.0730000000000093</v>
      </c>
      <c r="E104">
        <f t="shared" ref="E104:E106" si="22">IF(A104&gt;0,A104*C104*100,0)</f>
        <v>0</v>
      </c>
      <c r="F104">
        <f t="shared" si="9"/>
        <v>-200</v>
      </c>
    </row>
    <row r="105" spans="1:6" x14ac:dyDescent="0.25">
      <c r="A105">
        <v>-1</v>
      </c>
      <c r="B105">
        <v>103</v>
      </c>
      <c r="C105">
        <f t="shared" si="21"/>
        <v>1</v>
      </c>
      <c r="D105">
        <f t="shared" si="13"/>
        <v>5.0745000000000093</v>
      </c>
      <c r="E105">
        <f t="shared" si="22"/>
        <v>0</v>
      </c>
      <c r="F105">
        <f t="shared" si="9"/>
        <v>-100</v>
      </c>
    </row>
    <row r="106" spans="1:6" x14ac:dyDescent="0.25">
      <c r="A106">
        <v>-1</v>
      </c>
      <c r="B106">
        <v>104</v>
      </c>
      <c r="C106">
        <f t="shared" si="21"/>
        <v>0</v>
      </c>
      <c r="D106">
        <f t="shared" si="13"/>
        <v>5.0750000000000091</v>
      </c>
      <c r="E106">
        <f t="shared" si="22"/>
        <v>0</v>
      </c>
      <c r="F106">
        <f t="shared" si="9"/>
        <v>0</v>
      </c>
    </row>
  </sheetData>
  <pageMargins left="0.7" right="0.7" top="0.75" bottom="0.75" header="0.3" footer="0.3"/>
  <pageSetup orientation="portrait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Mario Lagos</dc:creator>
  <cp:lastModifiedBy>Mario Lagos</cp:lastModifiedBy>
  <dcterms:created xsi:type="dcterms:W3CDTF">2025-08-19T21:58:51Z</dcterms:created>
  <dcterms:modified xsi:type="dcterms:W3CDTF">2025-12-16T06:43:12Z</dcterms:modified>
</cp:coreProperties>
</file>